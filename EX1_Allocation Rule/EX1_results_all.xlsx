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fty_lin/Desktop/CSCSO_code and supplementary numerical results/EX1_Allocation Rule/"/>
    </mc:Choice>
  </mc:AlternateContent>
  <xr:revisionPtr revIDLastSave="0" documentId="13_ncr:1_{65461C57-BCB7-854C-B138-E0D170F14D03}" xr6:coauthVersionLast="47" xr6:coauthVersionMax="47" xr10:uidLastSave="{00000000-0000-0000-0000-000000000000}"/>
  <bookViews>
    <workbookView xWindow="20" yWindow="500" windowWidth="28800" windowHeight="16100" activeTab="1" xr2:uid="{19E9EB6F-7755-8948-9267-720F93968714}"/>
  </bookViews>
  <sheets>
    <sheet name="d=2" sheetId="1" r:id="rId1"/>
    <sheet name="d=10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7" i="2" l="1"/>
  <c r="T8" i="2"/>
  <c r="T9" i="2"/>
  <c r="T10" i="2"/>
  <c r="T11" i="2"/>
  <c r="T12" i="2"/>
  <c r="T13" i="2"/>
  <c r="T14" i="2"/>
  <c r="T15" i="2"/>
  <c r="T6" i="2"/>
  <c r="N7" i="2"/>
  <c r="N8" i="2"/>
  <c r="N9" i="2"/>
  <c r="N10" i="2"/>
  <c r="N11" i="2"/>
  <c r="N12" i="2"/>
  <c r="N13" i="2"/>
  <c r="N14" i="2"/>
  <c r="N15" i="2"/>
  <c r="N6" i="2"/>
  <c r="H7" i="2"/>
  <c r="H8" i="2"/>
  <c r="H9" i="2"/>
  <c r="H10" i="2"/>
  <c r="H11" i="2"/>
  <c r="H12" i="2"/>
  <c r="H13" i="2"/>
  <c r="H14" i="2"/>
  <c r="H15" i="2"/>
  <c r="H6" i="2"/>
  <c r="C7" i="2"/>
  <c r="C6" i="2"/>
  <c r="C9" i="2"/>
  <c r="C10" i="2"/>
  <c r="C11" i="2"/>
  <c r="C13" i="2"/>
  <c r="C8" i="2"/>
  <c r="N8" i="1" a="1"/>
  <c r="N8" i="1" s="1"/>
  <c r="H8" i="1" a="1"/>
  <c r="H8" i="1" s="1"/>
  <c r="C10" i="1" a="1"/>
  <c r="C12" i="2" l="1"/>
  <c r="C14" i="2"/>
  <c r="C15" i="2"/>
  <c r="C1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<sst xmlns="http://schemas.openxmlformats.org/spreadsheetml/2006/main" count="282" uniqueCount="20">
  <si>
    <t>d=2</t>
    <phoneticPr fontId="1" type="noConversion"/>
  </si>
  <si>
    <t>q=5</t>
    <phoneticPr fontId="1" type="noConversion"/>
  </si>
  <si>
    <t>LR</t>
    <phoneticPr fontId="1" type="noConversion"/>
  </si>
  <si>
    <t>Gamma</t>
  </si>
  <si>
    <t>n</t>
  </si>
  <si>
    <t>T</t>
  </si>
  <si>
    <t>KRR</t>
    <phoneticPr fontId="1" type="noConversion"/>
  </si>
  <si>
    <t>avg</t>
    <phoneticPr fontId="1" type="noConversion"/>
  </si>
  <si>
    <t>min</t>
    <phoneticPr fontId="1" type="noConversion"/>
  </si>
  <si>
    <t>max</t>
    <phoneticPr fontId="1" type="noConversion"/>
  </si>
  <si>
    <t>sd</t>
    <phoneticPr fontId="1" type="noConversion"/>
  </si>
  <si>
    <t>-</t>
    <phoneticPr fontId="1" type="noConversion"/>
  </si>
  <si>
    <t>d=10</t>
    <phoneticPr fontId="1" type="noConversion"/>
  </si>
  <si>
    <t>kNN</t>
    <phoneticPr fontId="1" type="noConversion"/>
  </si>
  <si>
    <t>KS</t>
    <phoneticPr fontId="1" type="noConversion"/>
  </si>
  <si>
    <t>Optimal Allocatio Rule</t>
    <phoneticPr fontId="1" type="noConversion"/>
  </si>
  <si>
    <t>Benchmark Rule (i):  T = \bar{T}</t>
    <phoneticPr fontId="1" type="noConversion"/>
  </si>
  <si>
    <t>Benchmark Rule (ii):  T = 0.5  \bar{T}</t>
    <phoneticPr fontId="1" type="noConversion"/>
  </si>
  <si>
    <t>Benchmark Rule (iii):  T = 1.5 \bar{T}</t>
    <phoneticPr fontId="1" type="noConversion"/>
  </si>
  <si>
    <t>\bar{T}=100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</si>
</sst>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 "/>
    <numFmt numFmtId="177" formatCode="0.0000_ "/>
    <numFmt numFmtId="178" formatCode="0_);[Red]\(0\)"/>
  </numFmts>
  <fonts count="3">
    <font>
      <sz val="20"/>
      <color theme="1"/>
      <name val="等线"/>
      <family val="2"/>
      <charset val="134"/>
      <scheme val="minor"/>
    </font>
    <font>
      <sz val="10"/>
      <name val="等线"/>
      <family val="2"/>
      <charset val="134"/>
      <scheme val="minor"/>
    </font>
    <font>
      <sz val="20"/>
      <color rgb="FF000000"/>
      <name val="等线"/>
      <family val="4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177" fontId="2" fillId="0" borderId="3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78" fontId="2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2" fillId="0" borderId="5" xfId="0" applyNumberFormat="1" applyFont="1" applyBorder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7" fontId="2" fillId="0" borderId="4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77" fontId="2" fillId="0" borderId="9" xfId="0" applyNumberFormat="1" applyFont="1" applyBorder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77" fontId="2" fillId="0" borderId="8" xfId="0" applyNumberFormat="1" applyFont="1" applyBorder="1" applyAlignment="1">
      <alignment horizontal="center" vertical="center"/>
    </xf>
    <xf numFmtId="177" fontId="2" fillId="0" borderId="6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178" fontId="2" fillId="0" borderId="7" xfId="0" applyNumberFormat="1" applyFont="1" applyBorder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8" fontId="2" fillId="0" borderId="8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76" fontId="0" fillId="3" borderId="0" xfId="0" applyNumberFormat="1" applyFill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177" fontId="0" fillId="0" borderId="8" xfId="0" applyNumberFormat="1" applyBorder="1" applyAlignment="1">
      <alignment horizontal="center" vertical="center"/>
    </xf>
    <xf numFmtId="177" fontId="0" fillId="0" borderId="6" xfId="0" applyNumberForma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2F9D7-5C97-3A4C-B0C6-29BC24CAAC8B}">
  <dimension ref="A1:Y63"/>
  <sheetViews>
    <sheetView topLeftCell="A21" zoomScale="87" zoomScaleNormal="70" workbookViewId="0">
      <selection activeCell="A27" sqref="A27:XFD27"/>
    </sheetView>
  </sheetViews>
  <sheetFormatPr baseColWidth="10" defaultRowHeight="26"/>
  <cols>
    <col min="1" max="1" width="8.08984375" style="2" customWidth="1"/>
    <col min="2" max="2" width="6.1796875" style="2" customWidth="1"/>
    <col min="3" max="3" width="6.26953125" style="2" customWidth="1"/>
    <col min="4" max="4" width="8.08984375" style="4" customWidth="1"/>
    <col min="5" max="5" width="8.90625" style="4" customWidth="1"/>
    <col min="6" max="6" width="6.7265625" style="4" customWidth="1"/>
    <col min="7" max="7" width="7.90625" style="4" customWidth="1"/>
    <col min="8" max="8" width="5.36328125" style="2" customWidth="1"/>
    <col min="9" max="9" width="6.1796875" style="2" customWidth="1"/>
    <col min="10" max="10" width="8.1796875" style="4" customWidth="1"/>
    <col min="11" max="11" width="8.6328125" style="4" customWidth="1"/>
    <col min="12" max="12" width="7.453125" style="4" customWidth="1"/>
    <col min="13" max="13" width="8.1796875" style="4" customWidth="1"/>
    <col min="14" max="14" width="6.08984375" style="2" customWidth="1"/>
    <col min="15" max="15" width="6.6328125" style="2" customWidth="1"/>
    <col min="16" max="16" width="7.81640625" style="4" customWidth="1"/>
    <col min="17" max="17" width="7.6328125" style="4" customWidth="1"/>
    <col min="18" max="18" width="7.26953125" style="4" customWidth="1"/>
    <col min="19" max="19" width="7.1796875" style="4" customWidth="1"/>
    <col min="20" max="20" width="5.90625" style="2" customWidth="1"/>
    <col min="21" max="21" width="6.26953125" style="2" customWidth="1"/>
    <col min="22" max="22" width="7.6328125" style="4" customWidth="1"/>
    <col min="23" max="23" width="7.453125" style="4" customWidth="1"/>
    <col min="24" max="24" width="7.08984375" style="4" customWidth="1"/>
    <col min="25" max="25" width="9.6328125" style="4" customWidth="1"/>
    <col min="26" max="16384" width="10.6328125" style="2"/>
  </cols>
  <sheetData>
    <row r="1" spans="1:25">
      <c r="A1" s="31" t="s">
        <v>0</v>
      </c>
      <c r="B1" s="31" t="s">
        <v>1</v>
      </c>
      <c r="C1" s="2" t="s">
        <v>19</v>
      </c>
      <c r="H1" s="3"/>
    </row>
    <row r="2" spans="1:25">
      <c r="H2" s="3"/>
    </row>
    <row r="3" spans="1:25">
      <c r="A3" s="1" t="s">
        <v>2</v>
      </c>
      <c r="H3" s="3"/>
    </row>
    <row r="4" spans="1:25">
      <c r="A4" s="6"/>
      <c r="B4" s="36" t="s">
        <v>15</v>
      </c>
      <c r="C4" s="37"/>
      <c r="D4" s="37"/>
      <c r="E4" s="37"/>
      <c r="F4" s="37"/>
      <c r="G4" s="38"/>
      <c r="H4" s="36" t="s">
        <v>16</v>
      </c>
      <c r="I4" s="37"/>
      <c r="J4" s="37"/>
      <c r="K4" s="37"/>
      <c r="L4" s="37"/>
      <c r="M4" s="38"/>
      <c r="N4" s="36" t="s">
        <v>17</v>
      </c>
      <c r="O4" s="37"/>
      <c r="P4" s="37"/>
      <c r="Q4" s="37"/>
      <c r="R4" s="37"/>
      <c r="S4" s="38"/>
      <c r="T4" s="37" t="s">
        <v>18</v>
      </c>
      <c r="U4" s="37"/>
      <c r="V4" s="37"/>
      <c r="W4" s="37"/>
      <c r="X4" s="37"/>
      <c r="Y4" s="37"/>
    </row>
    <row r="5" spans="1:25">
      <c r="A5" s="6" t="s">
        <v>3</v>
      </c>
      <c r="B5" s="7" t="s">
        <v>4</v>
      </c>
      <c r="C5" s="8" t="s">
        <v>5</v>
      </c>
      <c r="D5" s="10" t="s">
        <v>7</v>
      </c>
      <c r="E5" s="10" t="s">
        <v>10</v>
      </c>
      <c r="F5" s="10" t="s">
        <v>8</v>
      </c>
      <c r="G5" s="11" t="s">
        <v>9</v>
      </c>
      <c r="H5" s="7" t="s">
        <v>4</v>
      </c>
      <c r="I5" s="8" t="s">
        <v>5</v>
      </c>
      <c r="J5" s="10" t="s">
        <v>7</v>
      </c>
      <c r="K5" s="10" t="s">
        <v>10</v>
      </c>
      <c r="L5" s="10" t="s">
        <v>8</v>
      </c>
      <c r="M5" s="11" t="s">
        <v>9</v>
      </c>
      <c r="N5" s="7" t="s">
        <v>4</v>
      </c>
      <c r="O5" s="8" t="s">
        <v>5</v>
      </c>
      <c r="P5" s="10" t="s">
        <v>7</v>
      </c>
      <c r="Q5" s="10" t="s">
        <v>10</v>
      </c>
      <c r="R5" s="10" t="s">
        <v>8</v>
      </c>
      <c r="S5" s="11" t="s">
        <v>9</v>
      </c>
      <c r="T5" s="7" t="s">
        <v>4</v>
      </c>
      <c r="U5" s="8" t="s">
        <v>5</v>
      </c>
      <c r="V5" s="10" t="s">
        <v>7</v>
      </c>
      <c r="W5" s="10" t="s">
        <v>10</v>
      </c>
      <c r="X5" s="10" t="s">
        <v>8</v>
      </c>
      <c r="Y5" s="11" t="s">
        <v>9</v>
      </c>
    </row>
    <row r="6" spans="1:25">
      <c r="A6" s="29">
        <v>100</v>
      </c>
      <c r="B6" s="17">
        <v>10</v>
      </c>
      <c r="C6" s="13">
        <v>10</v>
      </c>
      <c r="D6" s="15">
        <v>0.65876174729540904</v>
      </c>
      <c r="E6" s="15">
        <v>0.56120129030752697</v>
      </c>
      <c r="F6" s="15">
        <v>1.0121186717138299E-2</v>
      </c>
      <c r="G6" s="16">
        <v>2.12538045597727</v>
      </c>
      <c r="H6" s="17">
        <v>1</v>
      </c>
      <c r="I6" s="13">
        <v>100</v>
      </c>
      <c r="J6" s="15" t="s">
        <v>11</v>
      </c>
      <c r="K6" s="15" t="s">
        <v>11</v>
      </c>
      <c r="L6" s="15" t="s">
        <v>11</v>
      </c>
      <c r="M6" s="15" t="s">
        <v>11</v>
      </c>
      <c r="N6" s="17">
        <v>2</v>
      </c>
      <c r="O6" s="13">
        <v>50</v>
      </c>
      <c r="P6" s="15" t="s">
        <v>11</v>
      </c>
      <c r="Q6" s="15" t="s">
        <v>11</v>
      </c>
      <c r="R6" s="15" t="s">
        <v>11</v>
      </c>
      <c r="S6" s="18" t="s">
        <v>11</v>
      </c>
      <c r="T6" s="13">
        <v>1</v>
      </c>
      <c r="U6" s="13">
        <v>150</v>
      </c>
      <c r="V6" s="15" t="s">
        <v>11</v>
      </c>
      <c r="W6" s="15" t="s">
        <v>11</v>
      </c>
      <c r="X6" s="15" t="s">
        <v>11</v>
      </c>
      <c r="Y6" s="15" t="s">
        <v>11</v>
      </c>
    </row>
    <row r="7" spans="1:25">
      <c r="A7" s="29">
        <v>250</v>
      </c>
      <c r="B7" s="17">
        <v>10</v>
      </c>
      <c r="C7" s="13">
        <v>25</v>
      </c>
      <c r="D7" s="15">
        <v>0.150158061896211</v>
      </c>
      <c r="E7" s="15">
        <v>0.15486557891008901</v>
      </c>
      <c r="F7" s="15">
        <v>3.1444620130030702E-3</v>
      </c>
      <c r="G7" s="16">
        <v>0.64545647197809797</v>
      </c>
      <c r="H7" s="17">
        <v>2.5</v>
      </c>
      <c r="I7" s="13">
        <v>100</v>
      </c>
      <c r="J7" s="15" t="s">
        <v>11</v>
      </c>
      <c r="K7" s="15" t="s">
        <v>11</v>
      </c>
      <c r="L7" s="15" t="s">
        <v>11</v>
      </c>
      <c r="M7" s="15" t="s">
        <v>11</v>
      </c>
      <c r="N7" s="17">
        <v>5</v>
      </c>
      <c r="O7" s="13">
        <v>50</v>
      </c>
      <c r="P7" s="15" t="s">
        <v>11</v>
      </c>
      <c r="Q7" s="15" t="s">
        <v>11</v>
      </c>
      <c r="R7" s="15" t="s">
        <v>11</v>
      </c>
      <c r="S7" s="18" t="s">
        <v>11</v>
      </c>
      <c r="T7" s="13">
        <v>2</v>
      </c>
      <c r="U7" s="13">
        <v>150</v>
      </c>
      <c r="V7" s="15" t="s">
        <v>11</v>
      </c>
      <c r="W7" s="15" t="s">
        <v>11</v>
      </c>
      <c r="X7" s="15" t="s">
        <v>11</v>
      </c>
      <c r="Y7" s="15" t="s">
        <v>11</v>
      </c>
    </row>
    <row r="8" spans="1:25">
      <c r="A8" s="29">
        <v>500</v>
      </c>
      <c r="B8" s="17">
        <v>10</v>
      </c>
      <c r="C8" s="13">
        <v>50</v>
      </c>
      <c r="D8" s="15">
        <v>5.5885502626175101E-2</v>
      </c>
      <c r="E8" s="15">
        <v>7.0674774383290298E-2</v>
      </c>
      <c r="F8" s="15">
        <v>9.94098847045108E-4</v>
      </c>
      <c r="G8" s="16">
        <v>0.36399141828195097</v>
      </c>
      <c r="H8" s="14" cm="1">
        <f t="array" ref="H8:H15">A8:A15/I8:I15</f>
        <v>5</v>
      </c>
      <c r="I8" s="13">
        <v>100</v>
      </c>
      <c r="J8" s="15" t="s">
        <v>11</v>
      </c>
      <c r="K8" s="15" t="s">
        <v>11</v>
      </c>
      <c r="L8" s="15" t="s">
        <v>11</v>
      </c>
      <c r="M8" s="15" t="s">
        <v>11</v>
      </c>
      <c r="N8" s="14" cm="1">
        <f t="array" ref="N8:N15">A8:A15/O8:O15</f>
        <v>10</v>
      </c>
      <c r="O8" s="13">
        <v>50</v>
      </c>
      <c r="P8" s="15">
        <v>5.5885502626175101E-2</v>
      </c>
      <c r="Q8" s="15">
        <v>7.0674774383290395E-2</v>
      </c>
      <c r="R8" s="15">
        <v>9.94098847045108E-4</v>
      </c>
      <c r="S8" s="16">
        <v>0.36399141828195097</v>
      </c>
      <c r="T8" s="27">
        <v>4</v>
      </c>
      <c r="U8" s="13">
        <v>150</v>
      </c>
      <c r="V8" s="4" t="s">
        <v>11</v>
      </c>
      <c r="W8" s="4" t="s">
        <v>11</v>
      </c>
      <c r="X8" s="4" t="s">
        <v>11</v>
      </c>
      <c r="Y8" s="4" t="s">
        <v>11</v>
      </c>
    </row>
    <row r="9" spans="1:25">
      <c r="A9" s="29">
        <v>1000</v>
      </c>
      <c r="B9" s="17">
        <v>10</v>
      </c>
      <c r="C9" s="13">
        <v>100</v>
      </c>
      <c r="D9" s="15">
        <v>2.32305505131759E-2</v>
      </c>
      <c r="E9" s="15">
        <v>3.4502174111906099E-2</v>
      </c>
      <c r="F9" s="15">
        <v>3.8316563240877003E-4</v>
      </c>
      <c r="G9" s="16">
        <v>0.19718856096832299</v>
      </c>
      <c r="H9" s="14">
        <v>10</v>
      </c>
      <c r="I9" s="13">
        <v>100</v>
      </c>
      <c r="J9" s="15">
        <v>2.3230550513176001E-2</v>
      </c>
      <c r="K9" s="15">
        <v>3.4502174111906099E-2</v>
      </c>
      <c r="L9" s="15">
        <v>3.8316563240877003E-4</v>
      </c>
      <c r="M9" s="16">
        <v>0.19718856096832299</v>
      </c>
      <c r="N9" s="14">
        <v>20</v>
      </c>
      <c r="O9" s="13">
        <v>50</v>
      </c>
      <c r="P9" s="15">
        <v>3.82862699660768E-2</v>
      </c>
      <c r="Q9" s="15">
        <v>5.8606782330723202E-2</v>
      </c>
      <c r="R9" s="15">
        <v>7.1376221049295602E-4</v>
      </c>
      <c r="S9" s="16">
        <v>0.34603026073113402</v>
      </c>
      <c r="T9" s="27">
        <v>7</v>
      </c>
      <c r="U9" s="13">
        <v>150</v>
      </c>
      <c r="V9" s="15">
        <v>2.18308892469436E-2</v>
      </c>
      <c r="W9" s="15">
        <v>3.37421154969317E-2</v>
      </c>
      <c r="X9" s="15">
        <v>2.60895772072168E-4</v>
      </c>
      <c r="Y9" s="15">
        <v>0.194474420640324</v>
      </c>
    </row>
    <row r="10" spans="1:25">
      <c r="A10" s="29">
        <v>1500</v>
      </c>
      <c r="B10" s="17">
        <v>10</v>
      </c>
      <c r="C10" s="13" cm="1">
        <f t="array" ref="C10:C15">A10:A15/B10:B15</f>
        <v>150</v>
      </c>
      <c r="D10" s="15">
        <v>1.55816321573914E-2</v>
      </c>
      <c r="E10" s="15">
        <v>2.5032509110015901E-2</v>
      </c>
      <c r="F10" s="15">
        <v>2.1090125681200099E-4</v>
      </c>
      <c r="G10" s="16">
        <v>0.14578865166566801</v>
      </c>
      <c r="H10" s="14">
        <v>15</v>
      </c>
      <c r="I10" s="13">
        <v>100</v>
      </c>
      <c r="J10" s="15">
        <v>1.7984246933300401E-2</v>
      </c>
      <c r="K10" s="15">
        <v>2.8057343902357399E-2</v>
      </c>
      <c r="L10" s="15">
        <v>2.6960596843597298E-4</v>
      </c>
      <c r="M10" s="16">
        <v>0.16070083275097199</v>
      </c>
      <c r="N10" s="14">
        <v>30</v>
      </c>
      <c r="O10" s="13">
        <v>50</v>
      </c>
      <c r="P10" s="15">
        <v>3.5583881956782297E-2</v>
      </c>
      <c r="Q10" s="15">
        <v>5.4481246954259099E-2</v>
      </c>
      <c r="R10" s="15">
        <v>5.3265732364704001E-4</v>
      </c>
      <c r="S10" s="16">
        <v>0.33241623791463298</v>
      </c>
      <c r="T10" s="27">
        <v>10</v>
      </c>
      <c r="U10" s="13">
        <v>150</v>
      </c>
      <c r="V10" s="15">
        <v>1.5581632157391501E-2</v>
      </c>
      <c r="W10" s="15">
        <v>2.5032509110016001E-2</v>
      </c>
      <c r="X10" s="15">
        <v>2.1090125681200099E-4</v>
      </c>
      <c r="Y10" s="15">
        <v>0.14578865166566801</v>
      </c>
    </row>
    <row r="11" spans="1:25">
      <c r="A11" s="29">
        <v>2000</v>
      </c>
      <c r="B11" s="17">
        <v>10</v>
      </c>
      <c r="C11" s="13">
        <v>200</v>
      </c>
      <c r="D11" s="15">
        <v>1.2058576509612499E-2</v>
      </c>
      <c r="E11" s="15">
        <v>1.98663414010877E-2</v>
      </c>
      <c r="F11" s="15">
        <v>1.4231943567354901E-4</v>
      </c>
      <c r="G11" s="16">
        <v>0.11703367329499</v>
      </c>
      <c r="H11" s="14">
        <v>20</v>
      </c>
      <c r="I11" s="13">
        <v>100</v>
      </c>
      <c r="J11" s="15">
        <v>1.5390659972092101E-2</v>
      </c>
      <c r="K11" s="15">
        <v>3.1303933654887803E-2</v>
      </c>
      <c r="L11" s="15">
        <v>2.2783740496867E-4</v>
      </c>
      <c r="M11" s="16">
        <v>0.185848122072997</v>
      </c>
      <c r="N11" s="14">
        <v>40</v>
      </c>
      <c r="O11" s="13">
        <v>50</v>
      </c>
      <c r="P11" s="15">
        <v>3.4395415933584299E-2</v>
      </c>
      <c r="Q11" s="15">
        <v>6.0591623757763002E-2</v>
      </c>
      <c r="R11" s="15">
        <v>4.6276162074372802E-4</v>
      </c>
      <c r="S11" s="16">
        <v>0.374802605065369</v>
      </c>
      <c r="T11" s="27">
        <v>14</v>
      </c>
      <c r="U11" s="13">
        <v>150</v>
      </c>
      <c r="V11" s="15">
        <v>1.3960129420137799E-2</v>
      </c>
      <c r="W11" s="15">
        <v>2.2186962508598099E-2</v>
      </c>
      <c r="X11" s="15">
        <v>1.7351629618463901E-4</v>
      </c>
      <c r="Y11" s="15">
        <v>0.123627810622952</v>
      </c>
    </row>
    <row r="12" spans="1:25">
      <c r="A12" s="29">
        <v>2500</v>
      </c>
      <c r="B12" s="17">
        <v>10</v>
      </c>
      <c r="C12" s="13">
        <v>250</v>
      </c>
      <c r="D12" s="15">
        <v>9.5700375515099505E-3</v>
      </c>
      <c r="E12" s="15">
        <v>1.6185825215053899E-2</v>
      </c>
      <c r="F12" s="15">
        <v>1.0248474928713299E-4</v>
      </c>
      <c r="G12" s="16">
        <v>9.6744835849371102E-2</v>
      </c>
      <c r="H12" s="14">
        <v>25</v>
      </c>
      <c r="I12" s="13">
        <v>100</v>
      </c>
      <c r="J12" s="15">
        <v>1.4927939735781E-2</v>
      </c>
      <c r="K12" s="15">
        <v>3.1899311879755199E-2</v>
      </c>
      <c r="L12" s="15">
        <v>2.10343414489451E-4</v>
      </c>
      <c r="M12" s="16">
        <v>0.193150841755033</v>
      </c>
      <c r="N12" s="14">
        <v>50</v>
      </c>
      <c r="O12" s="13">
        <v>50</v>
      </c>
      <c r="P12" s="15">
        <v>3.53062446812447E-2</v>
      </c>
      <c r="Q12" s="15">
        <v>5.5308283944946302E-2</v>
      </c>
      <c r="R12" s="15">
        <v>3.8932264184783502E-4</v>
      </c>
      <c r="S12" s="16">
        <v>0.33189558890985199</v>
      </c>
      <c r="T12" s="27">
        <v>17</v>
      </c>
      <c r="U12" s="13">
        <v>150</v>
      </c>
      <c r="V12" s="15">
        <v>1.0796372153097001E-2</v>
      </c>
      <c r="W12" s="15">
        <v>2.6152335688663E-2</v>
      </c>
      <c r="X12" s="15">
        <v>1.2596655460204301E-4</v>
      </c>
      <c r="Y12" s="15">
        <v>0.15748589601044299</v>
      </c>
    </row>
    <row r="13" spans="1:25">
      <c r="A13" s="29">
        <v>3000</v>
      </c>
      <c r="B13" s="17">
        <v>10</v>
      </c>
      <c r="C13" s="13">
        <v>300</v>
      </c>
      <c r="D13" s="15">
        <v>8.1947861127954092E-3</v>
      </c>
      <c r="E13" s="15">
        <v>1.40040672384976E-2</v>
      </c>
      <c r="F13" s="15">
        <v>8.7644199586796895E-5</v>
      </c>
      <c r="G13" s="16">
        <v>8.3591722583865796E-2</v>
      </c>
      <c r="H13" s="14">
        <v>30</v>
      </c>
      <c r="I13" s="13">
        <v>100</v>
      </c>
      <c r="J13" s="15">
        <v>1.42220051991676E-2</v>
      </c>
      <c r="K13" s="15">
        <v>3.1351453136112803E-2</v>
      </c>
      <c r="L13" s="15">
        <v>1.9119415704277299E-4</v>
      </c>
      <c r="M13" s="16">
        <v>0.19391734505888</v>
      </c>
      <c r="N13" s="14">
        <v>60</v>
      </c>
      <c r="O13" s="13">
        <v>50</v>
      </c>
      <c r="P13" s="15">
        <v>3.6375896250650401E-2</v>
      </c>
      <c r="Q13" s="15">
        <v>6.0072319808525398E-2</v>
      </c>
      <c r="R13" s="15">
        <v>4.0342753041694099E-4</v>
      </c>
      <c r="S13" s="16">
        <v>0.37077230113570803</v>
      </c>
      <c r="T13" s="27">
        <v>20</v>
      </c>
      <c r="U13" s="13">
        <v>150</v>
      </c>
      <c r="V13" s="15">
        <v>1.0058220671008301E-2</v>
      </c>
      <c r="W13" s="15">
        <v>2.3065345158088599E-2</v>
      </c>
      <c r="X13" s="15">
        <v>1.16274744591253E-4</v>
      </c>
      <c r="Y13" s="15">
        <v>0.13691469907081699</v>
      </c>
    </row>
    <row r="14" spans="1:25">
      <c r="A14" s="29">
        <v>3500</v>
      </c>
      <c r="B14" s="17">
        <v>10</v>
      </c>
      <c r="C14" s="13">
        <v>350</v>
      </c>
      <c r="D14" s="15">
        <v>7.24883450698054E-3</v>
      </c>
      <c r="E14" s="15">
        <v>1.2389278235067899E-2</v>
      </c>
      <c r="F14" s="15">
        <v>7.6171099326349405E-5</v>
      </c>
      <c r="G14" s="16">
        <v>7.3579285602069999E-2</v>
      </c>
      <c r="H14" s="14">
        <v>35</v>
      </c>
      <c r="I14" s="13">
        <v>100</v>
      </c>
      <c r="J14" s="15">
        <v>1.4495559478908999E-2</v>
      </c>
      <c r="K14" s="15">
        <v>3.4174050286846697E-2</v>
      </c>
      <c r="L14" s="15">
        <v>1.54715821606606E-4</v>
      </c>
      <c r="M14" s="16">
        <v>0.21172362986759299</v>
      </c>
      <c r="N14" s="14">
        <v>70</v>
      </c>
      <c r="O14" s="13">
        <v>50</v>
      </c>
      <c r="P14" s="15">
        <v>3.6566513115888703E-2</v>
      </c>
      <c r="Q14" s="15">
        <v>6.0429215426321702E-2</v>
      </c>
      <c r="R14" s="15">
        <v>3.3996291554997098E-4</v>
      </c>
      <c r="S14" s="16">
        <v>0.36325349670154999</v>
      </c>
      <c r="T14" s="27">
        <v>24</v>
      </c>
      <c r="U14" s="13">
        <v>150</v>
      </c>
      <c r="V14" s="15">
        <v>1.1228610571300901E-2</v>
      </c>
      <c r="W14" s="15">
        <v>2.8157872042156001E-2</v>
      </c>
      <c r="X14" s="15">
        <v>1.2081145967247199E-4</v>
      </c>
      <c r="Y14" s="15">
        <v>0.168595699525173</v>
      </c>
    </row>
    <row r="15" spans="1:25">
      <c r="A15" s="30">
        <v>4000</v>
      </c>
      <c r="B15" s="24">
        <v>10</v>
      </c>
      <c r="C15" s="21">
        <v>400</v>
      </c>
      <c r="D15" s="15">
        <v>6.3906581244796302E-3</v>
      </c>
      <c r="E15" s="15">
        <v>1.09772153832504E-2</v>
      </c>
      <c r="F15" s="15">
        <v>5.9785984114478999E-5</v>
      </c>
      <c r="G15" s="16">
        <v>6.5174384822302298E-2</v>
      </c>
      <c r="H15" s="25">
        <v>40</v>
      </c>
      <c r="I15" s="21">
        <v>100</v>
      </c>
      <c r="J15" s="22">
        <v>1.41500133177472E-2</v>
      </c>
      <c r="K15" s="22">
        <v>3.54670902432309E-2</v>
      </c>
      <c r="L15" s="22">
        <v>1.4058728647988101E-4</v>
      </c>
      <c r="M15" s="23">
        <v>0.21871531551050699</v>
      </c>
      <c r="N15" s="25">
        <v>80</v>
      </c>
      <c r="O15" s="21">
        <v>50</v>
      </c>
      <c r="P15" s="22">
        <v>3.5322772338692E-2</v>
      </c>
      <c r="Q15" s="22">
        <v>5.8206160871995198E-2</v>
      </c>
      <c r="R15" s="22">
        <v>3.56785265825952E-4</v>
      </c>
      <c r="S15" s="23">
        <v>0.35132275193484502</v>
      </c>
      <c r="T15" s="33">
        <v>27</v>
      </c>
      <c r="U15" s="21">
        <v>150</v>
      </c>
      <c r="V15" s="22">
        <v>9.2897657201344696E-3</v>
      </c>
      <c r="W15" s="22">
        <v>2.3133102182977199E-2</v>
      </c>
      <c r="X15" s="22">
        <v>1.02741497111391E-4</v>
      </c>
      <c r="Y15" s="22">
        <v>0.139289798976516</v>
      </c>
    </row>
    <row r="19" spans="1:25">
      <c r="A19" s="1" t="s">
        <v>6</v>
      </c>
      <c r="H19" s="3"/>
    </row>
    <row r="20" spans="1:25">
      <c r="A20" s="6"/>
      <c r="B20" s="36" t="s">
        <v>15</v>
      </c>
      <c r="C20" s="37"/>
      <c r="D20" s="37"/>
      <c r="E20" s="37"/>
      <c r="F20" s="37"/>
      <c r="G20" s="38"/>
      <c r="H20" s="36" t="s">
        <v>16</v>
      </c>
      <c r="I20" s="37"/>
      <c r="J20" s="37"/>
      <c r="K20" s="37"/>
      <c r="L20" s="37"/>
      <c r="M20" s="38"/>
      <c r="N20" s="36" t="s">
        <v>17</v>
      </c>
      <c r="O20" s="37"/>
      <c r="P20" s="37"/>
      <c r="Q20" s="37"/>
      <c r="R20" s="37"/>
      <c r="S20" s="38"/>
      <c r="T20" s="37" t="s">
        <v>18</v>
      </c>
      <c r="U20" s="37"/>
      <c r="V20" s="37"/>
      <c r="W20" s="37"/>
      <c r="X20" s="37"/>
      <c r="Y20" s="37"/>
    </row>
    <row r="21" spans="1:25">
      <c r="A21" s="6" t="s">
        <v>3</v>
      </c>
      <c r="B21" s="7" t="s">
        <v>4</v>
      </c>
      <c r="C21" s="8" t="s">
        <v>5</v>
      </c>
      <c r="D21" s="10" t="s">
        <v>7</v>
      </c>
      <c r="E21" s="10" t="s">
        <v>10</v>
      </c>
      <c r="F21" s="10" t="s">
        <v>8</v>
      </c>
      <c r="G21" s="11" t="s">
        <v>9</v>
      </c>
      <c r="H21" s="7" t="s">
        <v>4</v>
      </c>
      <c r="I21" s="8" t="s">
        <v>5</v>
      </c>
      <c r="J21" s="10" t="s">
        <v>7</v>
      </c>
      <c r="K21" s="10" t="s">
        <v>10</v>
      </c>
      <c r="L21" s="10" t="s">
        <v>8</v>
      </c>
      <c r="M21" s="11" t="s">
        <v>9</v>
      </c>
      <c r="N21" s="7" t="s">
        <v>4</v>
      </c>
      <c r="O21" s="8" t="s">
        <v>5</v>
      </c>
      <c r="P21" s="10" t="s">
        <v>7</v>
      </c>
      <c r="Q21" s="10" t="s">
        <v>10</v>
      </c>
      <c r="R21" s="10" t="s">
        <v>8</v>
      </c>
      <c r="S21" s="11" t="s">
        <v>9</v>
      </c>
      <c r="T21" s="7" t="s">
        <v>4</v>
      </c>
      <c r="U21" s="8" t="s">
        <v>5</v>
      </c>
      <c r="V21" s="10" t="s">
        <v>7</v>
      </c>
      <c r="W21" s="10" t="s">
        <v>10</v>
      </c>
      <c r="X21" s="10" t="s">
        <v>8</v>
      </c>
      <c r="Y21" s="11" t="s">
        <v>9</v>
      </c>
    </row>
    <row r="22" spans="1:25">
      <c r="A22" s="29">
        <v>100</v>
      </c>
      <c r="B22" s="17">
        <v>10</v>
      </c>
      <c r="C22" s="13">
        <v>10</v>
      </c>
      <c r="D22" s="15">
        <v>0.55244053810299998</v>
      </c>
      <c r="E22" s="15">
        <v>0.50633396500207495</v>
      </c>
      <c r="F22" s="15">
        <v>1.12790830064426E-2</v>
      </c>
      <c r="G22" s="15">
        <v>2.0978223061372598</v>
      </c>
      <c r="H22" s="17">
        <v>1</v>
      </c>
      <c r="I22" s="13">
        <v>100</v>
      </c>
      <c r="J22" s="15">
        <v>8.7970042369300305</v>
      </c>
      <c r="K22" s="15">
        <v>0.88750934358010203</v>
      </c>
      <c r="L22" s="15">
        <v>6.5577236188453201</v>
      </c>
      <c r="M22" s="16">
        <v>9.9854711025630802</v>
      </c>
      <c r="N22" s="17">
        <v>2</v>
      </c>
      <c r="O22" s="13">
        <v>50</v>
      </c>
      <c r="P22" s="15">
        <v>6.8991657817624299E-2</v>
      </c>
      <c r="Q22" s="15">
        <v>5.3251340566107502E-2</v>
      </c>
      <c r="R22" s="15">
        <v>4.8593653449723198E-3</v>
      </c>
      <c r="S22" s="16">
        <v>0.25073349034637799</v>
      </c>
      <c r="T22" s="13">
        <v>1</v>
      </c>
      <c r="U22" s="13">
        <v>150</v>
      </c>
      <c r="V22" s="15">
        <v>8.8572059575649202</v>
      </c>
      <c r="W22" s="15">
        <v>0.87046858517442804</v>
      </c>
      <c r="X22" s="15">
        <v>6.75324941899673</v>
      </c>
      <c r="Y22" s="15">
        <v>10.0121454336744</v>
      </c>
    </row>
    <row r="23" spans="1:25">
      <c r="A23" s="29">
        <v>250</v>
      </c>
      <c r="B23" s="17">
        <v>10</v>
      </c>
      <c r="C23" s="13">
        <v>25</v>
      </c>
      <c r="D23" s="15">
        <v>0.11006369498347</v>
      </c>
      <c r="E23" s="15">
        <v>0.11232815481406901</v>
      </c>
      <c r="F23" s="15">
        <v>3.1343233927590198E-3</v>
      </c>
      <c r="G23" s="15">
        <v>0.481005713975174</v>
      </c>
      <c r="H23" s="17">
        <v>3</v>
      </c>
      <c r="I23" s="13">
        <v>100</v>
      </c>
      <c r="J23" s="15">
        <v>5.0604173521108603E-2</v>
      </c>
      <c r="K23" s="15">
        <v>5.1897015230395901E-2</v>
      </c>
      <c r="L23" s="15">
        <v>8.4314434747520799E-4</v>
      </c>
      <c r="M23" s="16">
        <v>0.20729073071665499</v>
      </c>
      <c r="N23" s="17">
        <v>5</v>
      </c>
      <c r="O23" s="13">
        <v>50</v>
      </c>
      <c r="P23" s="15">
        <v>6.3734361889195498E-2</v>
      </c>
      <c r="Q23" s="15">
        <v>7.2247698290896001E-2</v>
      </c>
      <c r="R23" s="15">
        <v>1.9221888258751901E-3</v>
      </c>
      <c r="S23" s="16">
        <v>0.34254567718747198</v>
      </c>
      <c r="T23" s="13">
        <v>2</v>
      </c>
      <c r="U23" s="13">
        <v>150</v>
      </c>
      <c r="V23" s="15">
        <v>2.9941912956012898E-2</v>
      </c>
      <c r="W23" s="15">
        <v>2.7509546602735399E-2</v>
      </c>
      <c r="X23" s="15">
        <v>1.16864354087764E-3</v>
      </c>
      <c r="Y23" s="15">
        <v>0.13123272617876799</v>
      </c>
    </row>
    <row r="24" spans="1:25">
      <c r="A24" s="29">
        <v>500</v>
      </c>
      <c r="B24" s="17">
        <v>10</v>
      </c>
      <c r="C24" s="13">
        <v>50</v>
      </c>
      <c r="D24" s="4">
        <v>3.4197032440041603E-2</v>
      </c>
      <c r="E24" s="4">
        <v>3.9938263317213202E-2</v>
      </c>
      <c r="F24" s="4">
        <v>9.0506834942840903E-4</v>
      </c>
      <c r="G24" s="4">
        <v>0.19066300516010701</v>
      </c>
      <c r="H24" s="14">
        <v>5</v>
      </c>
      <c r="I24" s="13">
        <v>100</v>
      </c>
      <c r="J24" s="15">
        <v>2.7933562759360198E-2</v>
      </c>
      <c r="K24" s="15">
        <v>3.3875337412392001E-2</v>
      </c>
      <c r="L24" s="15">
        <v>7.1878980012415601E-4</v>
      </c>
      <c r="M24" s="16">
        <v>0.16717801701016599</v>
      </c>
      <c r="N24" s="14">
        <v>10</v>
      </c>
      <c r="O24" s="13">
        <v>50</v>
      </c>
      <c r="P24" s="15">
        <v>3.4197032440041603E-2</v>
      </c>
      <c r="Q24" s="15">
        <v>3.9938263317213202E-2</v>
      </c>
      <c r="R24" s="15">
        <v>9.0506834942840903E-4</v>
      </c>
      <c r="S24" s="16">
        <v>0.19066300516010701</v>
      </c>
      <c r="T24" s="27">
        <v>4</v>
      </c>
      <c r="U24" s="13">
        <v>150</v>
      </c>
      <c r="V24" s="15">
        <v>1.8708391985294399E-2</v>
      </c>
      <c r="W24" s="15">
        <v>2.22603839335394E-2</v>
      </c>
      <c r="X24" s="15">
        <v>4.0549179639612202E-4</v>
      </c>
      <c r="Y24" s="15">
        <v>0.107885724134929</v>
      </c>
    </row>
    <row r="25" spans="1:25">
      <c r="A25" s="29">
        <v>1000</v>
      </c>
      <c r="B25" s="17">
        <v>10</v>
      </c>
      <c r="C25" s="13">
        <v>100</v>
      </c>
      <c r="D25" s="4">
        <v>1.20544367732384E-2</v>
      </c>
      <c r="E25" s="4">
        <v>1.51669047703502E-2</v>
      </c>
      <c r="F25" s="4">
        <v>3.5825830289774099E-4</v>
      </c>
      <c r="G25" s="4">
        <v>7.7431287309388794E-2</v>
      </c>
      <c r="H25" s="14">
        <v>10</v>
      </c>
      <c r="I25" s="13">
        <v>100</v>
      </c>
      <c r="J25" s="15">
        <v>1.20544367732384E-2</v>
      </c>
      <c r="K25" s="15">
        <v>1.51669047703502E-2</v>
      </c>
      <c r="L25" s="15">
        <v>3.5825830289774099E-4</v>
      </c>
      <c r="M25" s="16">
        <v>7.7431287309388794E-2</v>
      </c>
      <c r="N25" s="14">
        <v>20</v>
      </c>
      <c r="O25" s="13">
        <v>50</v>
      </c>
      <c r="P25" s="15">
        <v>2.52740020985113E-2</v>
      </c>
      <c r="Q25" s="15">
        <v>3.1570674105815003E-2</v>
      </c>
      <c r="R25" s="15">
        <v>6.7454606734467198E-4</v>
      </c>
      <c r="S25" s="16">
        <v>0.159085272686846</v>
      </c>
      <c r="T25" s="27">
        <v>7</v>
      </c>
      <c r="U25" s="13">
        <v>150</v>
      </c>
      <c r="V25" s="15">
        <v>9.6199093212610606E-3</v>
      </c>
      <c r="W25" s="15">
        <v>1.27062487475341E-2</v>
      </c>
      <c r="X25" s="15">
        <v>2.6440654527531298E-4</v>
      </c>
      <c r="Y25" s="15">
        <v>6.3749490631719696E-2</v>
      </c>
    </row>
    <row r="26" spans="1:25">
      <c r="A26" s="29">
        <v>1500</v>
      </c>
      <c r="B26" s="17">
        <v>10</v>
      </c>
      <c r="C26" s="13">
        <v>150</v>
      </c>
      <c r="D26" s="4">
        <v>7.2148680992994603E-3</v>
      </c>
      <c r="E26" s="4">
        <v>9.3363522268994706E-3</v>
      </c>
      <c r="F26" s="4">
        <v>1.87991356298692E-4</v>
      </c>
      <c r="G26" s="4">
        <v>4.87052588405553E-2</v>
      </c>
      <c r="H26" s="14">
        <v>15</v>
      </c>
      <c r="I26" s="13">
        <v>100</v>
      </c>
      <c r="J26" s="15">
        <v>8.9537818292136397E-3</v>
      </c>
      <c r="K26" s="15">
        <v>1.24368776554521E-2</v>
      </c>
      <c r="L26" s="15">
        <v>2.18617112411773E-4</v>
      </c>
      <c r="M26" s="16">
        <v>6.7344519894115107E-2</v>
      </c>
      <c r="N26" s="14">
        <v>30</v>
      </c>
      <c r="O26" s="13">
        <v>50</v>
      </c>
      <c r="P26" s="15">
        <v>2.3940626862276299E-2</v>
      </c>
      <c r="Q26" s="15">
        <v>2.98087472256038E-2</v>
      </c>
      <c r="R26" s="15">
        <v>4.7615308862461399E-4</v>
      </c>
      <c r="S26" s="16">
        <v>0.15398241192645701</v>
      </c>
      <c r="T26" s="27">
        <v>10</v>
      </c>
      <c r="U26" s="13">
        <v>150</v>
      </c>
      <c r="V26" s="15">
        <v>7.2148680992994603E-3</v>
      </c>
      <c r="W26" s="15">
        <v>9.3363522268994706E-3</v>
      </c>
      <c r="X26" s="15">
        <v>1.87991356298692E-4</v>
      </c>
      <c r="Y26" s="15">
        <v>4.87052588405553E-2</v>
      </c>
    </row>
    <row r="27" spans="1:25">
      <c r="A27" s="29">
        <v>2000</v>
      </c>
      <c r="B27" s="17">
        <v>11</v>
      </c>
      <c r="C27" s="13">
        <v>181</v>
      </c>
      <c r="D27" s="4">
        <v>4.8616824995360904E-3</v>
      </c>
      <c r="E27" s="4">
        <v>6.5557357146117804E-3</v>
      </c>
      <c r="F27" s="4">
        <v>1.3084630169206001E-4</v>
      </c>
      <c r="G27" s="4">
        <v>3.5205736188929602E-2</v>
      </c>
      <c r="H27" s="14">
        <v>20</v>
      </c>
      <c r="I27" s="13">
        <v>100</v>
      </c>
      <c r="J27" s="15">
        <v>7.7965861262977703E-3</v>
      </c>
      <c r="K27" s="15">
        <v>1.11281183496577E-2</v>
      </c>
      <c r="L27" s="15">
        <v>2.0585778301127801E-4</v>
      </c>
      <c r="M27" s="16">
        <v>6.11407434953695E-2</v>
      </c>
      <c r="N27" s="14">
        <v>40</v>
      </c>
      <c r="O27" s="13">
        <v>50</v>
      </c>
      <c r="P27" s="15">
        <v>2.16756339182562E-2</v>
      </c>
      <c r="Q27" s="15">
        <v>2.8387905177784101E-2</v>
      </c>
      <c r="R27" s="15">
        <v>3.3122962144066498E-4</v>
      </c>
      <c r="S27" s="16">
        <v>0.14407045950067801</v>
      </c>
      <c r="T27" s="27">
        <v>14</v>
      </c>
      <c r="U27" s="13">
        <v>150</v>
      </c>
      <c r="V27" s="15">
        <v>6.2533505505421401E-3</v>
      </c>
      <c r="W27" s="15">
        <v>8.6080551386237998E-3</v>
      </c>
      <c r="X27" s="15">
        <v>1.44634204257012E-4</v>
      </c>
      <c r="Y27" s="15">
        <v>4.5119598546907301E-2</v>
      </c>
    </row>
    <row r="28" spans="1:25">
      <c r="A28" s="29">
        <v>2500</v>
      </c>
      <c r="B28" s="17">
        <v>11</v>
      </c>
      <c r="C28" s="13">
        <v>227</v>
      </c>
      <c r="D28" s="4">
        <v>3.72090990943794E-3</v>
      </c>
      <c r="E28" s="4">
        <v>4.9516288223526699E-3</v>
      </c>
      <c r="F28" s="4">
        <v>9.7301763499277997E-5</v>
      </c>
      <c r="G28" s="4">
        <v>2.6431707237957101E-2</v>
      </c>
      <c r="H28" s="14">
        <v>25</v>
      </c>
      <c r="I28" s="13">
        <v>100</v>
      </c>
      <c r="J28" s="15">
        <v>7.6052127424873503E-3</v>
      </c>
      <c r="K28" s="15">
        <v>1.1399846811901501E-2</v>
      </c>
      <c r="L28" s="15">
        <v>1.6610921232002501E-4</v>
      </c>
      <c r="M28" s="16">
        <v>6.3032900027553504E-2</v>
      </c>
      <c r="N28" s="14">
        <v>50</v>
      </c>
      <c r="O28" s="13">
        <v>50</v>
      </c>
      <c r="P28" s="15">
        <v>2.2042596987830801E-2</v>
      </c>
      <c r="Q28" s="15">
        <v>2.7889035887239701E-2</v>
      </c>
      <c r="R28" s="15">
        <v>2.8831724838396402E-4</v>
      </c>
      <c r="S28" s="16">
        <v>0.13932692086995099</v>
      </c>
      <c r="T28" s="27">
        <v>17</v>
      </c>
      <c r="U28" s="13">
        <v>150</v>
      </c>
      <c r="V28" s="15">
        <v>4.3741383836460902E-3</v>
      </c>
      <c r="W28" s="15">
        <v>6.8246758699538499E-3</v>
      </c>
      <c r="X28" s="15">
        <v>1.04173324200117E-4</v>
      </c>
      <c r="Y28" s="15">
        <v>3.8647608477865698E-2</v>
      </c>
    </row>
    <row r="29" spans="1:25">
      <c r="A29" s="29">
        <v>3000</v>
      </c>
      <c r="B29" s="17">
        <v>11</v>
      </c>
      <c r="C29" s="13">
        <v>272</v>
      </c>
      <c r="D29" s="4">
        <v>3.1324251763558898E-3</v>
      </c>
      <c r="E29" s="4">
        <v>4.1038852973931403E-3</v>
      </c>
      <c r="F29" s="4">
        <v>7.7571163020607003E-5</v>
      </c>
      <c r="G29" s="4">
        <v>2.2139116564700401E-2</v>
      </c>
      <c r="H29" s="14">
        <v>30</v>
      </c>
      <c r="I29" s="13">
        <v>100</v>
      </c>
      <c r="J29" s="15">
        <v>7.2550450003090097E-3</v>
      </c>
      <c r="K29" s="15">
        <v>1.1453523705926401E-2</v>
      </c>
      <c r="L29" s="15">
        <v>1.41307228483598E-4</v>
      </c>
      <c r="M29" s="16">
        <v>6.6489575866091097E-2</v>
      </c>
      <c r="N29" s="14">
        <v>60</v>
      </c>
      <c r="O29" s="13">
        <v>50</v>
      </c>
      <c r="P29" s="15">
        <v>2.1463812775328401E-2</v>
      </c>
      <c r="Q29" s="15">
        <v>2.68769081981995E-2</v>
      </c>
      <c r="R29" s="15">
        <v>2.8854887076042201E-4</v>
      </c>
      <c r="S29" s="16">
        <v>0.13443923775237901</v>
      </c>
      <c r="T29" s="27">
        <v>20</v>
      </c>
      <c r="U29" s="13">
        <v>150</v>
      </c>
      <c r="V29" s="15">
        <v>4.2254402542531997E-3</v>
      </c>
      <c r="W29" s="15">
        <v>6.4497982513717998E-3</v>
      </c>
      <c r="X29" s="15">
        <v>1.12453274510351E-4</v>
      </c>
      <c r="Y29" s="15">
        <v>3.6689982350378299E-2</v>
      </c>
    </row>
    <row r="30" spans="1:25">
      <c r="A30" s="29">
        <v>3500</v>
      </c>
      <c r="B30" s="17">
        <v>11</v>
      </c>
      <c r="C30" s="13">
        <v>318</v>
      </c>
      <c r="D30" s="4">
        <v>2.6701384643456898E-3</v>
      </c>
      <c r="E30" s="4">
        <v>3.4464932647428502E-3</v>
      </c>
      <c r="F30" s="4">
        <v>7.6854382027681102E-5</v>
      </c>
      <c r="G30" s="4">
        <v>1.8862426979804801E-2</v>
      </c>
      <c r="H30" s="14">
        <v>35</v>
      </c>
      <c r="I30" s="13">
        <v>100</v>
      </c>
      <c r="J30" s="15">
        <v>6.8373712062496303E-3</v>
      </c>
      <c r="K30" s="15">
        <v>1.07308617249179E-2</v>
      </c>
      <c r="L30" s="15">
        <v>1.21460011926376E-4</v>
      </c>
      <c r="M30" s="16">
        <v>6.0257737887788397E-2</v>
      </c>
      <c r="N30" s="14">
        <v>70</v>
      </c>
      <c r="O30" s="13">
        <v>50</v>
      </c>
      <c r="P30" s="15">
        <v>2.1518924167248901E-2</v>
      </c>
      <c r="Q30" s="15">
        <v>2.71441018720118E-2</v>
      </c>
      <c r="R30" s="15">
        <v>2.5498729315565403E-4</v>
      </c>
      <c r="S30" s="16">
        <v>0.13398844328515</v>
      </c>
      <c r="T30" s="27">
        <v>24</v>
      </c>
      <c r="U30" s="13">
        <v>150</v>
      </c>
      <c r="V30" s="15">
        <v>4.2505976860684799E-3</v>
      </c>
      <c r="W30" s="15">
        <v>7.05593210959182E-3</v>
      </c>
      <c r="X30" s="15">
        <v>8.9201016912042501E-5</v>
      </c>
      <c r="Y30" s="15">
        <v>4.13143092010523E-2</v>
      </c>
    </row>
    <row r="31" spans="1:25">
      <c r="A31" s="30">
        <v>4000</v>
      </c>
      <c r="B31" s="17">
        <v>11</v>
      </c>
      <c r="C31" s="21">
        <v>363</v>
      </c>
      <c r="D31" s="34">
        <v>2.34891619340579E-3</v>
      </c>
      <c r="E31" s="34">
        <v>3.01258787977859E-3</v>
      </c>
      <c r="F31" s="34">
        <v>6.1054056379959297E-5</v>
      </c>
      <c r="G31" s="35">
        <v>1.6450487040892602E-2</v>
      </c>
      <c r="H31" s="25">
        <v>40</v>
      </c>
      <c r="I31" s="21">
        <v>100</v>
      </c>
      <c r="J31" s="22">
        <v>6.4904267261992298E-3</v>
      </c>
      <c r="K31" s="22">
        <v>1.0783418819466E-2</v>
      </c>
      <c r="L31" s="22">
        <v>1.1633488510170899E-4</v>
      </c>
      <c r="M31" s="23">
        <v>6.0786414787988401E-2</v>
      </c>
      <c r="N31" s="25">
        <v>80</v>
      </c>
      <c r="O31" s="21">
        <v>50</v>
      </c>
      <c r="P31" s="22">
        <v>2.0666382163649199E-2</v>
      </c>
      <c r="Q31" s="22">
        <v>2.6155799737003198E-2</v>
      </c>
      <c r="R31" s="22">
        <v>2.6174673851287399E-4</v>
      </c>
      <c r="S31" s="23">
        <v>0.130742568033097</v>
      </c>
      <c r="T31" s="33">
        <v>27</v>
      </c>
      <c r="U31" s="21">
        <v>150</v>
      </c>
      <c r="V31" s="22">
        <v>3.74479507389189E-3</v>
      </c>
      <c r="W31" s="22">
        <v>6.3928094481734699E-3</v>
      </c>
      <c r="X31" s="22">
        <v>9.1673419078641203E-5</v>
      </c>
      <c r="Y31" s="22">
        <v>3.7625434042103799E-2</v>
      </c>
    </row>
    <row r="34" spans="1:25">
      <c r="A34" s="1" t="s">
        <v>13</v>
      </c>
      <c r="H34" s="3"/>
    </row>
    <row r="35" spans="1:25">
      <c r="A35" s="6"/>
      <c r="B35" s="36" t="s">
        <v>15</v>
      </c>
      <c r="C35" s="37"/>
      <c r="D35" s="37"/>
      <c r="E35" s="37"/>
      <c r="F35" s="37"/>
      <c r="G35" s="38"/>
      <c r="H35" s="36" t="s">
        <v>16</v>
      </c>
      <c r="I35" s="37"/>
      <c r="J35" s="37"/>
      <c r="K35" s="37"/>
      <c r="L35" s="37"/>
      <c r="M35" s="38"/>
      <c r="N35" s="36" t="s">
        <v>17</v>
      </c>
      <c r="O35" s="37"/>
      <c r="P35" s="37"/>
      <c r="Q35" s="37"/>
      <c r="R35" s="37"/>
      <c r="S35" s="38"/>
      <c r="T35" s="37" t="s">
        <v>18</v>
      </c>
      <c r="U35" s="37"/>
      <c r="V35" s="37"/>
      <c r="W35" s="37"/>
      <c r="X35" s="37"/>
      <c r="Y35" s="37"/>
    </row>
    <row r="36" spans="1:25">
      <c r="A36" s="6" t="s">
        <v>3</v>
      </c>
      <c r="B36" s="7" t="s">
        <v>4</v>
      </c>
      <c r="C36" s="8" t="s">
        <v>5</v>
      </c>
      <c r="D36" s="10" t="s">
        <v>7</v>
      </c>
      <c r="E36" s="10" t="s">
        <v>10</v>
      </c>
      <c r="F36" s="10" t="s">
        <v>8</v>
      </c>
      <c r="G36" s="11" t="s">
        <v>9</v>
      </c>
      <c r="H36" s="7" t="s">
        <v>4</v>
      </c>
      <c r="I36" s="8" t="s">
        <v>5</v>
      </c>
      <c r="J36" s="10" t="s">
        <v>7</v>
      </c>
      <c r="K36" s="10" t="s">
        <v>10</v>
      </c>
      <c r="L36" s="10" t="s">
        <v>8</v>
      </c>
      <c r="M36" s="11" t="s">
        <v>9</v>
      </c>
      <c r="N36" s="7" t="s">
        <v>4</v>
      </c>
      <c r="O36" s="8" t="s">
        <v>5</v>
      </c>
      <c r="P36" s="10" t="s">
        <v>7</v>
      </c>
      <c r="Q36" s="10" t="s">
        <v>10</v>
      </c>
      <c r="R36" s="10" t="s">
        <v>8</v>
      </c>
      <c r="S36" s="18" t="s">
        <v>9</v>
      </c>
      <c r="T36" s="7" t="s">
        <v>4</v>
      </c>
      <c r="U36" s="8" t="s">
        <v>5</v>
      </c>
      <c r="V36" s="10" t="s">
        <v>7</v>
      </c>
      <c r="W36" s="10" t="s">
        <v>10</v>
      </c>
      <c r="X36" s="10" t="s">
        <v>8</v>
      </c>
      <c r="Y36" s="11" t="s">
        <v>9</v>
      </c>
    </row>
    <row r="37" spans="1:25">
      <c r="A37" s="29">
        <v>100</v>
      </c>
      <c r="B37" s="17">
        <v>10</v>
      </c>
      <c r="C37" s="13">
        <v>10</v>
      </c>
      <c r="D37" s="15">
        <v>0.80285219649717399</v>
      </c>
      <c r="E37" s="15">
        <v>0.661096044408369</v>
      </c>
      <c r="F37" s="15">
        <v>8.1681439485823595E-3</v>
      </c>
      <c r="G37" s="16">
        <v>2.6654575600683801</v>
      </c>
      <c r="H37" s="17">
        <v>1</v>
      </c>
      <c r="I37" s="13">
        <v>100</v>
      </c>
      <c r="J37" s="15">
        <v>8.7461105697308206</v>
      </c>
      <c r="K37" s="15">
        <v>0.87909822363797596</v>
      </c>
      <c r="L37" s="15">
        <v>6.5455622858923999</v>
      </c>
      <c r="M37" s="15">
        <v>9.9022881151407702</v>
      </c>
      <c r="N37" s="17">
        <v>2</v>
      </c>
      <c r="O37" s="13">
        <v>50</v>
      </c>
      <c r="P37" s="15">
        <v>1.59529479457922</v>
      </c>
      <c r="Q37" s="15">
        <v>2.1089388148482899</v>
      </c>
      <c r="R37" s="15">
        <v>3.8531139331246301E-3</v>
      </c>
      <c r="S37" s="18">
        <v>8.7619616371735507</v>
      </c>
      <c r="T37" s="13">
        <v>1</v>
      </c>
      <c r="U37" s="13">
        <v>150</v>
      </c>
      <c r="V37" s="15">
        <v>8.8088904387122309</v>
      </c>
      <c r="W37" s="15">
        <v>0.86294460975980303</v>
      </c>
      <c r="X37" s="15">
        <v>6.7413562832622604</v>
      </c>
      <c r="Y37" s="15">
        <v>9.9331770692960095</v>
      </c>
    </row>
    <row r="38" spans="1:25">
      <c r="A38" s="29">
        <v>250</v>
      </c>
      <c r="B38" s="17">
        <v>10</v>
      </c>
      <c r="C38" s="13">
        <v>25</v>
      </c>
      <c r="D38" s="15">
        <v>0.367952853869911</v>
      </c>
      <c r="E38" s="15">
        <v>0.38928030547249398</v>
      </c>
      <c r="F38" s="15">
        <v>2.7425288604865702E-3</v>
      </c>
      <c r="G38" s="16">
        <v>1.8771781289079501</v>
      </c>
      <c r="H38" s="17">
        <v>3</v>
      </c>
      <c r="I38" s="13">
        <v>100</v>
      </c>
      <c r="J38" s="15">
        <v>0.96611085981702804</v>
      </c>
      <c r="K38" s="15">
        <v>0.94882789680795199</v>
      </c>
      <c r="L38" s="15">
        <v>1.4734609114212299E-3</v>
      </c>
      <c r="M38" s="15">
        <v>3.7660573830920199</v>
      </c>
      <c r="N38" s="17">
        <v>5</v>
      </c>
      <c r="O38" s="13">
        <v>50</v>
      </c>
      <c r="P38" s="15">
        <v>0.77866587013556399</v>
      </c>
      <c r="Q38" s="15">
        <v>0.82794458342812005</v>
      </c>
      <c r="R38" s="15">
        <v>1.35917213557625E-3</v>
      </c>
      <c r="S38" s="16">
        <v>3.3524213249139998</v>
      </c>
      <c r="T38" s="13">
        <v>2</v>
      </c>
      <c r="U38" s="13">
        <v>150</v>
      </c>
      <c r="V38" s="15">
        <v>1.6174745056548001</v>
      </c>
      <c r="W38" s="15">
        <v>2.2414067032173501</v>
      </c>
      <c r="X38" s="15">
        <v>1.1617986992609E-3</v>
      </c>
      <c r="Y38" s="15">
        <v>9.1165062158252894</v>
      </c>
    </row>
    <row r="39" spans="1:25">
      <c r="A39" s="29">
        <v>500</v>
      </c>
      <c r="B39" s="17">
        <v>25</v>
      </c>
      <c r="C39" s="13">
        <v>20</v>
      </c>
      <c r="D39" s="15">
        <v>0.304362304825393</v>
      </c>
      <c r="E39" s="15">
        <v>0.355810258906055</v>
      </c>
      <c r="F39" s="15">
        <v>2.6732012649893998E-3</v>
      </c>
      <c r="G39" s="16">
        <v>1.5336521404267101</v>
      </c>
      <c r="H39" s="14">
        <v>5</v>
      </c>
      <c r="I39" s="13">
        <v>100</v>
      </c>
      <c r="J39" s="15">
        <v>0.74772474788576504</v>
      </c>
      <c r="K39" s="15">
        <v>0.80212359485903695</v>
      </c>
      <c r="L39" s="15">
        <v>7.7080288662684303E-4</v>
      </c>
      <c r="M39" s="16">
        <v>3.2487076806561999</v>
      </c>
      <c r="N39" s="14">
        <v>10</v>
      </c>
      <c r="O39" s="13">
        <v>50</v>
      </c>
      <c r="P39" s="15">
        <v>0.283969789486958</v>
      </c>
      <c r="Q39" s="15">
        <v>0.34466219001265902</v>
      </c>
      <c r="R39" s="15">
        <v>1.1780949717705401E-3</v>
      </c>
      <c r="S39" s="16">
        <v>1.72857688867774</v>
      </c>
      <c r="T39" s="27">
        <v>4</v>
      </c>
      <c r="U39" s="13">
        <v>150</v>
      </c>
      <c r="V39" s="4">
        <v>1.60909353007755</v>
      </c>
      <c r="W39" s="4">
        <v>2.24578217796246</v>
      </c>
      <c r="X39" s="4">
        <v>1.1974422282855599E-3</v>
      </c>
      <c r="Y39" s="4">
        <v>9.1230457532994595</v>
      </c>
    </row>
    <row r="40" spans="1:25">
      <c r="A40" s="29">
        <v>1000</v>
      </c>
      <c r="B40" s="17">
        <v>40</v>
      </c>
      <c r="C40" s="13">
        <v>25</v>
      </c>
      <c r="D40" s="15">
        <v>0.17821860984617299</v>
      </c>
      <c r="E40" s="15">
        <v>0.188249260974373</v>
      </c>
      <c r="F40" s="15">
        <v>2.3372754122102301E-3</v>
      </c>
      <c r="G40" s="16">
        <v>0.902560996993651</v>
      </c>
      <c r="H40" s="14">
        <v>10</v>
      </c>
      <c r="I40" s="13">
        <v>100</v>
      </c>
      <c r="J40" s="15">
        <v>0.25672406525631702</v>
      </c>
      <c r="K40" s="15">
        <v>0.32831201021408102</v>
      </c>
      <c r="L40" s="15">
        <v>6.5941998812655796E-4</v>
      </c>
      <c r="M40" s="16">
        <v>1.6800486821710501</v>
      </c>
      <c r="N40" s="14">
        <v>20</v>
      </c>
      <c r="O40" s="13">
        <v>50</v>
      </c>
      <c r="P40" s="15">
        <v>0.24431987980824799</v>
      </c>
      <c r="Q40" s="15">
        <v>0.40833076990742601</v>
      </c>
      <c r="R40" s="15">
        <v>1.0979689204302699E-3</v>
      </c>
      <c r="S40" s="16">
        <v>2.2795815764009402</v>
      </c>
      <c r="T40" s="27">
        <v>7</v>
      </c>
      <c r="U40" s="13">
        <v>150</v>
      </c>
      <c r="V40" s="15">
        <v>0.48197707455635502</v>
      </c>
      <c r="W40" s="15">
        <v>0.49549960155413297</v>
      </c>
      <c r="X40" s="15">
        <v>4.6689021343980801E-4</v>
      </c>
      <c r="Y40" s="15">
        <v>2.3010682008484098</v>
      </c>
    </row>
    <row r="41" spans="1:25">
      <c r="A41" s="29">
        <v>1500</v>
      </c>
      <c r="B41" s="17">
        <v>50</v>
      </c>
      <c r="C41" s="13">
        <v>30</v>
      </c>
      <c r="D41" s="15">
        <v>0.108202566158177</v>
      </c>
      <c r="E41" s="15">
        <v>0.13176299754166901</v>
      </c>
      <c r="F41" s="15">
        <v>1.09364096225429E-3</v>
      </c>
      <c r="G41" s="16">
        <v>0.63121177391142202</v>
      </c>
      <c r="H41" s="14">
        <v>15</v>
      </c>
      <c r="I41" s="13">
        <v>100</v>
      </c>
      <c r="J41" s="15">
        <v>0.196912856846402</v>
      </c>
      <c r="K41" s="15">
        <v>0.31272409533190199</v>
      </c>
      <c r="L41" s="15">
        <v>7.0393601203810603E-4</v>
      </c>
      <c r="M41" s="16">
        <v>2.2566805657023301</v>
      </c>
      <c r="N41" s="14">
        <v>30</v>
      </c>
      <c r="O41" s="13">
        <v>50</v>
      </c>
      <c r="P41" s="15">
        <v>0.14295093883439999</v>
      </c>
      <c r="Q41" s="15">
        <v>0.23919054834744499</v>
      </c>
      <c r="R41" s="15">
        <v>7.7729481226132503E-4</v>
      </c>
      <c r="S41" s="16">
        <v>1.4876491217586101</v>
      </c>
      <c r="T41" s="27">
        <v>10</v>
      </c>
      <c r="U41" s="13">
        <v>150</v>
      </c>
      <c r="V41" s="15">
        <v>0.25069327418587001</v>
      </c>
      <c r="W41" s="15">
        <v>0.32428828187818298</v>
      </c>
      <c r="X41" s="15">
        <v>4.6380863171922702E-4</v>
      </c>
      <c r="Y41" s="15">
        <v>1.66557113363229</v>
      </c>
    </row>
    <row r="42" spans="1:25">
      <c r="A42" s="29">
        <v>2000</v>
      </c>
      <c r="B42" s="17">
        <v>50</v>
      </c>
      <c r="C42" s="13">
        <v>40</v>
      </c>
      <c r="D42" s="15">
        <v>7.9537142671156594E-2</v>
      </c>
      <c r="E42" s="15">
        <v>0.100919620944023</v>
      </c>
      <c r="F42" s="15">
        <v>7.4542380272873401E-4</v>
      </c>
      <c r="G42" s="16">
        <v>0.48110735197764098</v>
      </c>
      <c r="H42" s="14">
        <v>20</v>
      </c>
      <c r="I42" s="13">
        <v>100</v>
      </c>
      <c r="J42" s="15">
        <v>0.22114288036243401</v>
      </c>
      <c r="K42" s="15">
        <v>0.39260928250739802</v>
      </c>
      <c r="L42" s="15">
        <v>5.8823099633629897E-4</v>
      </c>
      <c r="M42" s="16">
        <v>2.2516921002858701</v>
      </c>
      <c r="N42" s="14">
        <v>40</v>
      </c>
      <c r="O42" s="13">
        <v>50</v>
      </c>
      <c r="P42" s="15">
        <v>0.139974446127348</v>
      </c>
      <c r="Q42" s="15">
        <v>0.20490770446298701</v>
      </c>
      <c r="R42" s="15">
        <v>6.3194855464621699E-4</v>
      </c>
      <c r="S42" s="16">
        <v>1.06187237350085</v>
      </c>
      <c r="T42" s="27">
        <v>14</v>
      </c>
      <c r="U42" s="13">
        <v>150</v>
      </c>
      <c r="V42" s="15">
        <v>0.20510094820351299</v>
      </c>
      <c r="W42" s="15">
        <v>0.25116849362752502</v>
      </c>
      <c r="X42" s="15">
        <v>3.1199662089662501E-4</v>
      </c>
      <c r="Y42" s="15">
        <v>1.2982846504007499</v>
      </c>
    </row>
    <row r="43" spans="1:25">
      <c r="A43" s="29">
        <v>2500</v>
      </c>
      <c r="B43" s="17">
        <v>50</v>
      </c>
      <c r="C43" s="13">
        <v>50</v>
      </c>
      <c r="D43" s="15">
        <v>6.6167962995025795E-2</v>
      </c>
      <c r="E43" s="15">
        <v>8.5887021882488201E-2</v>
      </c>
      <c r="F43" s="15">
        <v>5.5736129405071198E-4</v>
      </c>
      <c r="G43" s="16">
        <v>0.40871593717530402</v>
      </c>
      <c r="H43" s="14">
        <v>25</v>
      </c>
      <c r="I43" s="13">
        <v>100</v>
      </c>
      <c r="J43" s="15">
        <v>0.17567068824860499</v>
      </c>
      <c r="K43" s="15">
        <v>0.264322255185169</v>
      </c>
      <c r="L43" s="15">
        <v>4.7216422127704997E-4</v>
      </c>
      <c r="M43" s="16">
        <v>1.3781666684226499</v>
      </c>
      <c r="N43" s="14">
        <v>50</v>
      </c>
      <c r="O43" s="13">
        <v>50</v>
      </c>
      <c r="P43" s="15">
        <v>6.6167962995025795E-2</v>
      </c>
      <c r="Q43" s="15">
        <v>8.5887021882488201E-2</v>
      </c>
      <c r="R43" s="15">
        <v>5.5736129405071198E-4</v>
      </c>
      <c r="S43" s="16">
        <v>0.40871593717530402</v>
      </c>
      <c r="T43" s="27">
        <v>17</v>
      </c>
      <c r="U43" s="13">
        <v>150</v>
      </c>
      <c r="V43" s="15">
        <v>0.209918640929561</v>
      </c>
      <c r="W43" s="15">
        <v>0.248608676030002</v>
      </c>
      <c r="X43" s="15">
        <v>3.1057524582015601E-4</v>
      </c>
      <c r="Y43" s="15">
        <v>1.27451961897119</v>
      </c>
    </row>
    <row r="44" spans="1:25">
      <c r="A44" s="29">
        <v>3000</v>
      </c>
      <c r="B44" s="17">
        <v>50</v>
      </c>
      <c r="C44" s="13">
        <v>60</v>
      </c>
      <c r="D44" s="15">
        <v>5.8421345609720399E-2</v>
      </c>
      <c r="E44" s="15">
        <v>7.7078440631041606E-2</v>
      </c>
      <c r="F44" s="15">
        <v>4.2673162760602701E-4</v>
      </c>
      <c r="G44" s="16">
        <v>0.37175127520398799</v>
      </c>
      <c r="H44" s="14">
        <v>30</v>
      </c>
      <c r="I44" s="13">
        <v>100</v>
      </c>
      <c r="J44" s="15">
        <v>0.13777677205698399</v>
      </c>
      <c r="K44" s="15">
        <v>0.247724425650201</v>
      </c>
      <c r="L44" s="15">
        <v>3.95950470745871E-4</v>
      </c>
      <c r="M44" s="16">
        <v>1.3601552373822601</v>
      </c>
      <c r="N44" s="14">
        <v>60</v>
      </c>
      <c r="O44" s="13">
        <v>50</v>
      </c>
      <c r="P44" s="15">
        <v>5.3736133466534303E-2</v>
      </c>
      <c r="Q44" s="15">
        <v>6.3934070981986099E-2</v>
      </c>
      <c r="R44" s="15">
        <v>6.1722246494824696E-4</v>
      </c>
      <c r="S44" s="16">
        <v>0.34054202943932799</v>
      </c>
      <c r="T44" s="27">
        <v>20</v>
      </c>
      <c r="U44" s="13">
        <v>150</v>
      </c>
      <c r="V44" s="15">
        <v>0.16762575100749</v>
      </c>
      <c r="W44" s="15">
        <v>0.244004715647271</v>
      </c>
      <c r="X44" s="15">
        <v>2.7300047022948103E-4</v>
      </c>
      <c r="Y44" s="15">
        <v>1.26599236183137</v>
      </c>
    </row>
    <row r="45" spans="1:25">
      <c r="A45" s="29">
        <v>3500</v>
      </c>
      <c r="B45" s="17">
        <v>50</v>
      </c>
      <c r="C45" s="13">
        <v>70</v>
      </c>
      <c r="D45" s="15">
        <v>5.3741110056162902E-2</v>
      </c>
      <c r="E45" s="15">
        <v>7.1714862763157194E-2</v>
      </c>
      <c r="F45" s="15">
        <v>4.0156091472024602E-4</v>
      </c>
      <c r="G45" s="16">
        <v>0.35297291783160001</v>
      </c>
      <c r="H45" s="14">
        <v>35</v>
      </c>
      <c r="I45" s="13">
        <v>100</v>
      </c>
      <c r="J45" s="15">
        <v>9.8672100742258503E-2</v>
      </c>
      <c r="K45" s="15">
        <v>0.147856233306842</v>
      </c>
      <c r="L45" s="15">
        <v>3.5938700016783799E-4</v>
      </c>
      <c r="M45" s="16">
        <v>0.80232532461118999</v>
      </c>
      <c r="N45" s="14">
        <v>70</v>
      </c>
      <c r="O45" s="13">
        <v>50</v>
      </c>
      <c r="P45" s="15">
        <v>6.5626641108310693E-2</v>
      </c>
      <c r="Q45" s="15">
        <v>0.106846040809322</v>
      </c>
      <c r="R45" s="15">
        <v>4.4067484480070102E-4</v>
      </c>
      <c r="S45" s="16">
        <v>0.84358253278485396</v>
      </c>
      <c r="T45" s="27">
        <v>24</v>
      </c>
      <c r="U45" s="13">
        <v>150</v>
      </c>
      <c r="V45" s="15">
        <v>0.154022233941813</v>
      </c>
      <c r="W45" s="15">
        <v>0.24669800158348901</v>
      </c>
      <c r="X45" s="15">
        <v>2.4957833362369901E-4</v>
      </c>
      <c r="Y45" s="15">
        <v>1.2722355391190301</v>
      </c>
    </row>
    <row r="46" spans="1:25">
      <c r="A46" s="30">
        <v>4000</v>
      </c>
      <c r="B46" s="24">
        <v>50</v>
      </c>
      <c r="C46" s="21">
        <v>80</v>
      </c>
      <c r="D46" s="22">
        <v>5.0682135794809499E-2</v>
      </c>
      <c r="E46" s="22">
        <v>6.8107722166376006E-2</v>
      </c>
      <c r="F46" s="22">
        <v>3.5102452910148302E-4</v>
      </c>
      <c r="G46" s="23">
        <v>0.34007548764072898</v>
      </c>
      <c r="H46" s="25">
        <v>40</v>
      </c>
      <c r="I46" s="21">
        <v>100</v>
      </c>
      <c r="J46" s="22">
        <v>9.0285273909174193E-2</v>
      </c>
      <c r="K46" s="22">
        <v>0.13118888680747801</v>
      </c>
      <c r="L46" s="22">
        <v>3.9346584456680301E-4</v>
      </c>
      <c r="M46" s="23">
        <v>0.75867705973340605</v>
      </c>
      <c r="N46" s="25">
        <v>80</v>
      </c>
      <c r="O46" s="21">
        <v>50</v>
      </c>
      <c r="P46" s="22">
        <v>8.4848719287800495E-2</v>
      </c>
      <c r="Q46" s="22">
        <v>0.14287494622997901</v>
      </c>
      <c r="R46" s="22">
        <v>4.3479516710229199E-4</v>
      </c>
      <c r="S46" s="23">
        <v>0.98510214124444995</v>
      </c>
      <c r="T46" s="33">
        <v>27</v>
      </c>
      <c r="U46" s="21">
        <v>150</v>
      </c>
      <c r="V46" s="22">
        <v>0.12918444563137299</v>
      </c>
      <c r="W46" s="22">
        <v>0.232395890017186</v>
      </c>
      <c r="X46" s="22">
        <v>2.7673602682834502E-4</v>
      </c>
      <c r="Y46" s="22">
        <v>1.4317069332300401</v>
      </c>
    </row>
    <row r="47" spans="1:25">
      <c r="A47" s="13"/>
      <c r="B47" s="13"/>
      <c r="C47" s="13"/>
      <c r="D47" s="15"/>
      <c r="E47" s="15"/>
      <c r="F47" s="15"/>
      <c r="G47" s="15"/>
      <c r="H47" s="27"/>
      <c r="I47" s="13"/>
      <c r="J47" s="15"/>
      <c r="K47" s="15"/>
      <c r="L47" s="15"/>
      <c r="M47" s="15"/>
      <c r="N47" s="27"/>
      <c r="O47" s="13"/>
      <c r="P47" s="15"/>
      <c r="Q47" s="15"/>
      <c r="R47" s="15"/>
      <c r="S47" s="15"/>
      <c r="T47" s="27"/>
      <c r="U47" s="13"/>
      <c r="V47" s="15"/>
      <c r="W47" s="15"/>
      <c r="X47" s="15"/>
      <c r="Y47" s="15"/>
    </row>
    <row r="50" spans="1:25">
      <c r="A50" s="1" t="s">
        <v>14</v>
      </c>
      <c r="H50" s="3"/>
    </row>
    <row r="51" spans="1:25">
      <c r="A51" s="6"/>
      <c r="B51" s="36" t="s">
        <v>15</v>
      </c>
      <c r="C51" s="37"/>
      <c r="D51" s="37"/>
      <c r="E51" s="37"/>
      <c r="F51" s="37"/>
      <c r="G51" s="38"/>
      <c r="H51" s="36" t="s">
        <v>16</v>
      </c>
      <c r="I51" s="37"/>
      <c r="J51" s="37"/>
      <c r="K51" s="37"/>
      <c r="L51" s="37"/>
      <c r="M51" s="38"/>
      <c r="N51" s="36" t="s">
        <v>17</v>
      </c>
      <c r="O51" s="37"/>
      <c r="P51" s="37"/>
      <c r="Q51" s="37"/>
      <c r="R51" s="37"/>
      <c r="S51" s="38"/>
      <c r="T51" s="37" t="s">
        <v>18</v>
      </c>
      <c r="U51" s="37"/>
      <c r="V51" s="37"/>
      <c r="W51" s="37"/>
      <c r="X51" s="37"/>
      <c r="Y51" s="37"/>
    </row>
    <row r="52" spans="1:25">
      <c r="A52" s="6" t="s">
        <v>3</v>
      </c>
      <c r="B52" s="7" t="s">
        <v>4</v>
      </c>
      <c r="C52" s="8" t="s">
        <v>5</v>
      </c>
      <c r="D52" s="10" t="s">
        <v>7</v>
      </c>
      <c r="E52" s="10" t="s">
        <v>10</v>
      </c>
      <c r="F52" s="10" t="s">
        <v>8</v>
      </c>
      <c r="G52" s="11" t="s">
        <v>9</v>
      </c>
      <c r="H52" s="7" t="s">
        <v>4</v>
      </c>
      <c r="I52" s="8" t="s">
        <v>5</v>
      </c>
      <c r="J52" s="10" t="s">
        <v>7</v>
      </c>
      <c r="K52" s="10" t="s">
        <v>10</v>
      </c>
      <c r="L52" s="10" t="s">
        <v>8</v>
      </c>
      <c r="M52" s="11" t="s">
        <v>9</v>
      </c>
      <c r="N52" s="7" t="s">
        <v>4</v>
      </c>
      <c r="O52" s="8" t="s">
        <v>5</v>
      </c>
      <c r="P52" s="10" t="s">
        <v>7</v>
      </c>
      <c r="Q52" s="10" t="s">
        <v>10</v>
      </c>
      <c r="R52" s="10" t="s">
        <v>8</v>
      </c>
      <c r="S52" s="18" t="s">
        <v>9</v>
      </c>
      <c r="T52" s="7" t="s">
        <v>4</v>
      </c>
      <c r="U52" s="8" t="s">
        <v>5</v>
      </c>
      <c r="V52" s="10" t="s">
        <v>7</v>
      </c>
      <c r="W52" s="10" t="s">
        <v>10</v>
      </c>
      <c r="X52" s="10" t="s">
        <v>8</v>
      </c>
      <c r="Y52" s="11" t="s">
        <v>9</v>
      </c>
    </row>
    <row r="53" spans="1:25">
      <c r="A53" s="29">
        <v>100</v>
      </c>
      <c r="B53" s="17">
        <v>10</v>
      </c>
      <c r="C53" s="13">
        <v>10</v>
      </c>
      <c r="D53" s="15">
        <v>0.85959557980358503</v>
      </c>
      <c r="E53" s="15">
        <v>0.68426103040925501</v>
      </c>
      <c r="F53" s="15">
        <v>7.0276607003129099E-3</v>
      </c>
      <c r="G53" s="16">
        <v>2.7327624593598001</v>
      </c>
      <c r="H53" s="17">
        <v>1</v>
      </c>
      <c r="I53" s="13">
        <v>100</v>
      </c>
      <c r="J53" s="15">
        <v>9.3101434342792793</v>
      </c>
      <c r="K53" s="15">
        <v>1.0462733402025799</v>
      </c>
      <c r="L53" s="15">
        <v>6.5455622858962696</v>
      </c>
      <c r="M53" s="15">
        <v>10.694731384424101</v>
      </c>
      <c r="N53" s="17">
        <v>2</v>
      </c>
      <c r="O53" s="13">
        <v>50</v>
      </c>
      <c r="P53" s="15">
        <v>1.0095343024527701</v>
      </c>
      <c r="Q53" s="15">
        <v>0.979431636738884</v>
      </c>
      <c r="R53" s="15">
        <v>3.6578409595908498E-3</v>
      </c>
      <c r="S53" s="18">
        <v>3.7669008922568601</v>
      </c>
      <c r="T53" s="13">
        <v>1</v>
      </c>
      <c r="U53" s="13">
        <v>150</v>
      </c>
      <c r="V53" s="15">
        <v>9.3443464178065998</v>
      </c>
      <c r="W53" s="15">
        <v>1.0111608690782199</v>
      </c>
      <c r="X53" s="15">
        <v>6.7413562832658798</v>
      </c>
      <c r="Y53" s="15">
        <v>10.694731384424101</v>
      </c>
    </row>
    <row r="54" spans="1:25">
      <c r="A54" s="29">
        <v>250</v>
      </c>
      <c r="B54" s="17">
        <v>10</v>
      </c>
      <c r="C54" s="13">
        <v>25</v>
      </c>
      <c r="D54" s="15">
        <v>0.41283515582825497</v>
      </c>
      <c r="E54" s="15">
        <v>0.40389389062698</v>
      </c>
      <c r="F54" s="15">
        <v>2.81465045718315E-3</v>
      </c>
      <c r="G54" s="16">
        <v>1.8169029979217</v>
      </c>
      <c r="H54" s="17">
        <v>3</v>
      </c>
      <c r="I54" s="13">
        <v>100</v>
      </c>
      <c r="J54" s="15">
        <v>0.88196720174948195</v>
      </c>
      <c r="K54" s="15">
        <v>1.19094494531958</v>
      </c>
      <c r="L54" s="15">
        <v>1.32494545879746E-3</v>
      </c>
      <c r="M54" s="15">
        <v>6.2732497367535496</v>
      </c>
      <c r="N54" s="17">
        <v>5</v>
      </c>
      <c r="O54" s="13">
        <v>50</v>
      </c>
      <c r="P54" s="15">
        <v>1.1014997739253301</v>
      </c>
      <c r="Q54" s="15">
        <v>1.24845492296076</v>
      </c>
      <c r="R54" s="15">
        <v>1.31916794665706E-3</v>
      </c>
      <c r="S54" s="16">
        <v>4.9949147226886597</v>
      </c>
      <c r="T54" s="13">
        <v>2</v>
      </c>
      <c r="U54" s="13">
        <v>150</v>
      </c>
      <c r="V54" s="15">
        <v>0.94397126864260705</v>
      </c>
      <c r="W54" s="15">
        <v>0.95537123653480904</v>
      </c>
      <c r="X54" s="15">
        <v>1.1551441239857499E-3</v>
      </c>
      <c r="Y54" s="15">
        <v>3.7482872985692701</v>
      </c>
    </row>
    <row r="55" spans="1:25">
      <c r="A55" s="29">
        <v>500</v>
      </c>
      <c r="B55" s="17">
        <v>25</v>
      </c>
      <c r="C55" s="13">
        <v>20</v>
      </c>
      <c r="D55" s="15">
        <v>0.28160402037172599</v>
      </c>
      <c r="E55" s="15">
        <v>0.29702523394302399</v>
      </c>
      <c r="F55" s="15">
        <v>1.9635519667776601E-3</v>
      </c>
      <c r="G55" s="16">
        <v>1.4362228318761801</v>
      </c>
      <c r="H55" s="14">
        <v>5</v>
      </c>
      <c r="I55" s="13">
        <v>100</v>
      </c>
      <c r="J55" s="15">
        <v>1.0764499740134099</v>
      </c>
      <c r="K55" s="15">
        <v>1.24304818173678</v>
      </c>
      <c r="L55" s="15">
        <v>7.6618940649042099E-4</v>
      </c>
      <c r="M55" s="16">
        <v>5.0317884937929502</v>
      </c>
      <c r="N55" s="14">
        <v>10</v>
      </c>
      <c r="O55" s="13">
        <v>50</v>
      </c>
      <c r="P55" s="15">
        <v>0.32714043851964902</v>
      </c>
      <c r="Q55" s="15">
        <v>0.35924291212415799</v>
      </c>
      <c r="R55" s="15">
        <v>1.20618925970201E-3</v>
      </c>
      <c r="S55" s="16">
        <v>1.6773629850596199</v>
      </c>
      <c r="T55" s="27">
        <v>4</v>
      </c>
      <c r="U55" s="13">
        <v>150</v>
      </c>
      <c r="V55" s="4">
        <v>0.96229498450040296</v>
      </c>
      <c r="W55" s="4">
        <v>1.35274406742827</v>
      </c>
      <c r="X55" s="4">
        <v>6.7787104452799504E-4</v>
      </c>
      <c r="Y55" s="4">
        <v>6.32449705112088</v>
      </c>
    </row>
    <row r="56" spans="1:25">
      <c r="A56" s="29">
        <v>1000</v>
      </c>
      <c r="B56" s="17">
        <v>40</v>
      </c>
      <c r="C56" s="13">
        <v>25</v>
      </c>
      <c r="D56" s="15">
        <v>0.189851689621301</v>
      </c>
      <c r="E56" s="15">
        <v>0.23948731949897401</v>
      </c>
      <c r="F56" s="15">
        <v>9.849168089628589E-4</v>
      </c>
      <c r="G56" s="16">
        <v>1.1747186353582499</v>
      </c>
      <c r="H56" s="14">
        <v>10</v>
      </c>
      <c r="I56" s="13">
        <v>100</v>
      </c>
      <c r="J56" s="15">
        <v>0.29746444813129802</v>
      </c>
      <c r="K56" s="15">
        <v>0.341559550479898</v>
      </c>
      <c r="L56" s="15">
        <v>6.3836731856620698E-4</v>
      </c>
      <c r="M56" s="16">
        <v>1.6617784426812501</v>
      </c>
      <c r="N56" s="14">
        <v>20</v>
      </c>
      <c r="O56" s="13">
        <v>50</v>
      </c>
      <c r="P56" s="15">
        <v>0.19278419072151201</v>
      </c>
      <c r="Q56" s="15">
        <v>0.26735723196769501</v>
      </c>
      <c r="R56" s="15">
        <v>8.1060416255353002E-4</v>
      </c>
      <c r="S56" s="16">
        <v>1.4128971659546501</v>
      </c>
      <c r="T56" s="27">
        <v>7</v>
      </c>
      <c r="U56" s="13">
        <v>150</v>
      </c>
      <c r="V56" s="15">
        <v>0.82289280646846996</v>
      </c>
      <c r="W56" s="15">
        <v>1.5104549261082001</v>
      </c>
      <c r="X56" s="15">
        <v>5.0684184659034704E-4</v>
      </c>
      <c r="Y56" s="15">
        <v>7.5725754458474199</v>
      </c>
    </row>
    <row r="57" spans="1:25">
      <c r="A57" s="29">
        <v>1500</v>
      </c>
      <c r="B57" s="17">
        <v>50</v>
      </c>
      <c r="C57" s="13">
        <v>30</v>
      </c>
      <c r="D57" s="15">
        <v>0.13712054472972399</v>
      </c>
      <c r="E57" s="15">
        <v>0.19905174577888499</v>
      </c>
      <c r="F57" s="15">
        <v>8.1358615380540801E-4</v>
      </c>
      <c r="G57" s="16">
        <v>1.1074981111203901</v>
      </c>
      <c r="H57" s="14">
        <v>15</v>
      </c>
      <c r="I57" s="13">
        <v>100</v>
      </c>
      <c r="J57" s="15">
        <v>0.24651162290459699</v>
      </c>
      <c r="K57" s="15">
        <v>0.286340298009231</v>
      </c>
      <c r="L57" s="15">
        <v>4.0441795322818401E-4</v>
      </c>
      <c r="M57" s="16">
        <v>1.3196424574377099</v>
      </c>
      <c r="N57" s="14">
        <v>30</v>
      </c>
      <c r="O57" s="13">
        <v>50</v>
      </c>
      <c r="P57" s="15">
        <v>0.12969250236882601</v>
      </c>
      <c r="Q57" s="15">
        <v>0.21046136159593101</v>
      </c>
      <c r="R57" s="15">
        <v>4.59206317692462E-4</v>
      </c>
      <c r="S57" s="16">
        <v>1.47887042121231</v>
      </c>
      <c r="T57" s="27">
        <v>10</v>
      </c>
      <c r="U57" s="13">
        <v>150</v>
      </c>
      <c r="V57" s="15">
        <v>0.28930196413030701</v>
      </c>
      <c r="W57" s="15">
        <v>0.33519214714869799</v>
      </c>
      <c r="X57" s="15">
        <v>5.0907421809701298E-4</v>
      </c>
      <c r="Y57" s="15">
        <v>1.6565874450690601</v>
      </c>
    </row>
    <row r="58" spans="1:25">
      <c r="A58" s="29">
        <v>2000</v>
      </c>
      <c r="B58" s="17">
        <v>50</v>
      </c>
      <c r="C58" s="13">
        <v>40</v>
      </c>
      <c r="D58" s="15">
        <v>0.103768159693729</v>
      </c>
      <c r="E58" s="15">
        <v>0.196217126422772</v>
      </c>
      <c r="F58" s="15">
        <v>5.7050919292126205E-4</v>
      </c>
      <c r="G58" s="16">
        <v>1.0956990618951701</v>
      </c>
      <c r="H58" s="14">
        <v>20</v>
      </c>
      <c r="I58" s="13">
        <v>100</v>
      </c>
      <c r="J58" s="15">
        <v>0.16746696145362</v>
      </c>
      <c r="K58" s="15">
        <v>0.25504415440504602</v>
      </c>
      <c r="L58" s="15">
        <v>3.0470206949512099E-4</v>
      </c>
      <c r="M58" s="16">
        <v>1.35512797157937</v>
      </c>
      <c r="N58" s="14">
        <v>40</v>
      </c>
      <c r="O58" s="13">
        <v>50</v>
      </c>
      <c r="P58" s="15">
        <v>0.116186757116701</v>
      </c>
      <c r="Q58" s="15">
        <v>0.18659959953026301</v>
      </c>
      <c r="R58" s="15">
        <v>3.8393681717398601E-4</v>
      </c>
      <c r="S58" s="16">
        <v>1.1412235265494199</v>
      </c>
      <c r="T58" s="27">
        <v>14</v>
      </c>
      <c r="U58" s="13">
        <v>150</v>
      </c>
      <c r="V58" s="15">
        <v>0.23114258481653099</v>
      </c>
      <c r="W58" s="15">
        <v>0.28683930304667998</v>
      </c>
      <c r="X58" s="15">
        <v>2.3911022727657501E-4</v>
      </c>
      <c r="Y58" s="15">
        <v>1.29828465039875</v>
      </c>
    </row>
    <row r="59" spans="1:25">
      <c r="A59" s="29">
        <v>2500</v>
      </c>
      <c r="B59" s="17">
        <v>50</v>
      </c>
      <c r="C59" s="13">
        <v>50</v>
      </c>
      <c r="D59" s="15">
        <v>7.3366566885698301E-2</v>
      </c>
      <c r="E59" s="15">
        <v>0.15848182564330601</v>
      </c>
      <c r="F59" s="15">
        <v>5.80062746332188E-4</v>
      </c>
      <c r="G59" s="16">
        <v>1.0729154677241399</v>
      </c>
      <c r="H59" s="14">
        <v>25</v>
      </c>
      <c r="I59" s="13">
        <v>100</v>
      </c>
      <c r="J59" s="15">
        <v>0.124116270599002</v>
      </c>
      <c r="K59" s="15">
        <v>0.19562839149938799</v>
      </c>
      <c r="L59" s="15">
        <v>2.5322856000781002E-4</v>
      </c>
      <c r="M59" s="16">
        <v>1.2165891490773599</v>
      </c>
      <c r="N59" s="14">
        <v>50</v>
      </c>
      <c r="O59" s="13">
        <v>50</v>
      </c>
      <c r="P59" s="15">
        <v>7.3366566885698301E-2</v>
      </c>
      <c r="Q59" s="15">
        <v>0.15848182564330601</v>
      </c>
      <c r="R59" s="15">
        <v>5.80062746332188E-4</v>
      </c>
      <c r="S59" s="16">
        <v>1.0729154677241399</v>
      </c>
      <c r="T59" s="27">
        <v>17</v>
      </c>
      <c r="U59" s="13">
        <v>150</v>
      </c>
      <c r="V59" s="15">
        <v>0.18554682128442199</v>
      </c>
      <c r="W59" s="15">
        <v>0.27337818342027198</v>
      </c>
      <c r="X59" s="15">
        <v>2.48018420872485E-4</v>
      </c>
      <c r="Y59" s="15">
        <v>1.33445444039917</v>
      </c>
    </row>
    <row r="60" spans="1:25">
      <c r="A60" s="29">
        <v>3000</v>
      </c>
      <c r="B60" s="17">
        <v>50</v>
      </c>
      <c r="C60" s="13">
        <v>60</v>
      </c>
      <c r="D60" s="15">
        <v>6.5603956058986695E-2</v>
      </c>
      <c r="E60" s="15">
        <v>0.15426313866453101</v>
      </c>
      <c r="F60" s="15">
        <v>4.47285884566837E-4</v>
      </c>
      <c r="G60" s="16">
        <v>1.0568449981579</v>
      </c>
      <c r="H60" s="14">
        <v>30</v>
      </c>
      <c r="I60" s="13">
        <v>100</v>
      </c>
      <c r="J60" s="15">
        <v>0.108877594991826</v>
      </c>
      <c r="K60" s="15">
        <v>0.19782406404684399</v>
      </c>
      <c r="L60" s="15">
        <v>2.1447699525334701E-4</v>
      </c>
      <c r="M60" s="16">
        <v>1.4557065234397299</v>
      </c>
      <c r="N60" s="14">
        <v>60</v>
      </c>
      <c r="O60" s="13">
        <v>50</v>
      </c>
      <c r="P60" s="15">
        <v>6.5836134624675302E-2</v>
      </c>
      <c r="Q60" s="15">
        <v>0.155539098456908</v>
      </c>
      <c r="R60" s="15">
        <v>5.0411416765154798E-4</v>
      </c>
      <c r="S60" s="16">
        <v>1.07838817543248</v>
      </c>
      <c r="T60" s="27">
        <v>20</v>
      </c>
      <c r="U60" s="13">
        <v>150</v>
      </c>
      <c r="V60" s="15">
        <v>0.160571765853466</v>
      </c>
      <c r="W60" s="15">
        <v>0.25102328308378502</v>
      </c>
      <c r="X60" s="15">
        <v>2.1544526774626801E-4</v>
      </c>
      <c r="Y60" s="15">
        <v>1.3354516510571699</v>
      </c>
    </row>
    <row r="61" spans="1:25">
      <c r="A61" s="29">
        <v>3500</v>
      </c>
      <c r="B61" s="17">
        <v>50</v>
      </c>
      <c r="C61" s="13">
        <v>70</v>
      </c>
      <c r="D61" s="15">
        <v>6.0828425382415598E-2</v>
      </c>
      <c r="E61" s="15">
        <v>0.15123489277794699</v>
      </c>
      <c r="F61" s="15">
        <v>3.7824386865764099E-4</v>
      </c>
      <c r="G61" s="16">
        <v>1.0418184558404799</v>
      </c>
      <c r="H61" s="14">
        <v>35</v>
      </c>
      <c r="I61" s="13">
        <v>100</v>
      </c>
      <c r="J61" s="15">
        <v>9.7135775666977203E-2</v>
      </c>
      <c r="K61" s="15">
        <v>0.16815093391375399</v>
      </c>
      <c r="L61" s="15">
        <v>1.6915212747830601E-4</v>
      </c>
      <c r="M61" s="16">
        <v>1.09094027286438</v>
      </c>
      <c r="N61" s="14">
        <v>70</v>
      </c>
      <c r="O61" s="13">
        <v>50</v>
      </c>
      <c r="P61" s="15">
        <v>6.4098391143118896E-2</v>
      </c>
      <c r="Q61" s="15">
        <v>0.158809318052023</v>
      </c>
      <c r="R61" s="15">
        <v>4.3675195586154598E-4</v>
      </c>
      <c r="S61" s="16">
        <v>1.1053112877890701</v>
      </c>
      <c r="T61" s="27">
        <v>24</v>
      </c>
      <c r="U61" s="13">
        <v>150</v>
      </c>
      <c r="V61" s="15">
        <v>0.134255968133485</v>
      </c>
      <c r="W61" s="15">
        <v>0.26111649824559702</v>
      </c>
      <c r="X61" s="15">
        <v>2.1134600371042599E-4</v>
      </c>
      <c r="Y61" s="15">
        <v>1.9803814880899899</v>
      </c>
    </row>
    <row r="62" spans="1:25">
      <c r="A62" s="30">
        <v>4000</v>
      </c>
      <c r="B62" s="24">
        <v>50</v>
      </c>
      <c r="C62" s="21">
        <v>80</v>
      </c>
      <c r="D62" s="22">
        <v>5.7648346160668898E-2</v>
      </c>
      <c r="E62" s="22">
        <v>0.148482147218852</v>
      </c>
      <c r="F62" s="22">
        <v>3.5270395660284002E-4</v>
      </c>
      <c r="G62" s="23">
        <v>1.0255167200881401</v>
      </c>
      <c r="H62" s="25">
        <v>40</v>
      </c>
      <c r="I62" s="21">
        <v>100</v>
      </c>
      <c r="J62" s="22">
        <v>9.2906783490867506E-2</v>
      </c>
      <c r="K62" s="22">
        <v>0.166236040845056</v>
      </c>
      <c r="L62" s="22">
        <v>1.4457684188945799E-4</v>
      </c>
      <c r="M62" s="23">
        <v>1.1020426353248101</v>
      </c>
      <c r="N62" s="25">
        <v>80</v>
      </c>
      <c r="O62" s="21">
        <v>50</v>
      </c>
      <c r="P62" s="22">
        <v>6.5415229140066394E-2</v>
      </c>
      <c r="Q62" s="22">
        <v>0.16221644475445601</v>
      </c>
      <c r="R62" s="22">
        <v>4.1913059325815103E-4</v>
      </c>
      <c r="S62" s="23">
        <v>1.1007630563159101</v>
      </c>
      <c r="T62" s="33">
        <v>27</v>
      </c>
      <c r="U62" s="21">
        <v>150</v>
      </c>
      <c r="V62" s="22">
        <v>9.5978029743437804E-2</v>
      </c>
      <c r="W62" s="22">
        <v>0.16537239327581299</v>
      </c>
      <c r="X62" s="22">
        <v>1.9350406931280099E-4</v>
      </c>
      <c r="Y62" s="22">
        <v>1.1663794519259501</v>
      </c>
    </row>
    <row r="63" spans="1:25">
      <c r="A63" s="13"/>
      <c r="B63" s="13"/>
      <c r="C63" s="13"/>
      <c r="D63" s="15"/>
      <c r="E63" s="15"/>
      <c r="F63" s="15"/>
      <c r="G63" s="15"/>
      <c r="H63" s="27"/>
      <c r="I63" s="13"/>
      <c r="J63" s="15"/>
      <c r="K63" s="15"/>
      <c r="L63" s="15"/>
      <c r="M63" s="15"/>
      <c r="N63" s="27"/>
      <c r="O63" s="13"/>
      <c r="P63" s="15"/>
      <c r="Q63" s="15"/>
      <c r="R63" s="15"/>
      <c r="S63" s="15"/>
      <c r="T63" s="27"/>
      <c r="U63" s="13"/>
      <c r="V63" s="15"/>
      <c r="W63" s="15"/>
      <c r="X63" s="15"/>
      <c r="Y63" s="15"/>
    </row>
  </sheetData>
  <mergeCells count="16">
    <mergeCell ref="B51:G51"/>
    <mergeCell ref="H51:M51"/>
    <mergeCell ref="N51:S51"/>
    <mergeCell ref="T51:Y51"/>
    <mergeCell ref="B35:G35"/>
    <mergeCell ref="H35:M35"/>
    <mergeCell ref="N35:S35"/>
    <mergeCell ref="T35:Y35"/>
    <mergeCell ref="B4:G4"/>
    <mergeCell ref="H4:M4"/>
    <mergeCell ref="N4:S4"/>
    <mergeCell ref="T4:Y4"/>
    <mergeCell ref="B20:G20"/>
    <mergeCell ref="H20:M20"/>
    <mergeCell ref="N20:S20"/>
    <mergeCell ref="T20:Y20"/>
  </mergeCells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6BBDC-FB11-6A47-AFA6-6715CEE0A777}">
  <dimension ref="A1:Y64"/>
  <sheetViews>
    <sheetView tabSelected="1" topLeftCell="I9" zoomScale="86" zoomScaleNormal="70" workbookViewId="0">
      <selection activeCell="L17" sqref="L17"/>
    </sheetView>
  </sheetViews>
  <sheetFormatPr baseColWidth="10" defaultRowHeight="26"/>
  <cols>
    <col min="1" max="1" width="7.90625" style="2" customWidth="1"/>
    <col min="2" max="2" width="7.1796875" style="3" customWidth="1"/>
    <col min="3" max="3" width="8.453125" style="2" customWidth="1"/>
    <col min="4" max="4" width="8.26953125" style="2" customWidth="1"/>
    <col min="5" max="5" width="8.36328125" style="2" customWidth="1"/>
    <col min="6" max="6" width="7.36328125" style="2" customWidth="1"/>
    <col min="7" max="7" width="7.08984375" style="2" customWidth="1"/>
    <col min="8" max="8" width="6.26953125" style="2" customWidth="1"/>
    <col min="9" max="9" width="6" style="2" customWidth="1"/>
    <col min="10" max="10" width="10.453125" style="2" customWidth="1"/>
    <col min="11" max="11" width="7.54296875" style="2" customWidth="1"/>
    <col min="12" max="12" width="7.7265625" style="2" customWidth="1"/>
    <col min="13" max="13" width="7.1796875" style="2" customWidth="1"/>
    <col min="14" max="14" width="6.7265625" style="3" customWidth="1"/>
    <col min="15" max="15" width="6.54296875" style="2" customWidth="1"/>
    <col min="16" max="16" width="7.453125" style="2" customWidth="1"/>
    <col min="17" max="17" width="8.453125" style="2" customWidth="1"/>
    <col min="18" max="18" width="8.26953125" style="2" customWidth="1"/>
    <col min="19" max="19" width="7" style="2" customWidth="1"/>
    <col min="20" max="20" width="6.453125" style="5" customWidth="1"/>
    <col min="21" max="21" width="7.08984375" style="2" customWidth="1"/>
    <col min="22" max="22" width="8.26953125" style="2" customWidth="1"/>
    <col min="23" max="23" width="8.453125" style="2" customWidth="1"/>
    <col min="24" max="24" width="8.08984375" style="2" customWidth="1"/>
    <col min="25" max="25" width="8.6328125" style="2" customWidth="1"/>
    <col min="26" max="16384" width="10.6328125" style="2"/>
  </cols>
  <sheetData>
    <row r="1" spans="1:25">
      <c r="A1" s="31" t="s">
        <v>12</v>
      </c>
      <c r="B1" s="32" t="s">
        <v>1</v>
      </c>
      <c r="C1" s="2" t="s">
        <v>19</v>
      </c>
      <c r="D1" s="4"/>
      <c r="E1" s="4"/>
      <c r="F1" s="4"/>
      <c r="G1" s="4"/>
      <c r="H1" s="3"/>
      <c r="J1" s="4"/>
      <c r="K1" s="4"/>
      <c r="L1" s="4"/>
      <c r="M1" s="4"/>
      <c r="P1" s="4"/>
      <c r="Q1" s="4"/>
      <c r="R1" s="4"/>
      <c r="S1" s="4"/>
      <c r="V1" s="4"/>
      <c r="W1" s="4"/>
      <c r="X1" s="4"/>
      <c r="Y1" s="4"/>
    </row>
    <row r="2" spans="1:25">
      <c r="D2" s="4"/>
      <c r="E2" s="4"/>
      <c r="F2" s="4"/>
      <c r="G2" s="4"/>
      <c r="H2" s="3"/>
      <c r="J2" s="4"/>
      <c r="K2" s="4"/>
      <c r="L2" s="4"/>
      <c r="M2" s="4"/>
      <c r="P2" s="4"/>
      <c r="Q2" s="4"/>
      <c r="R2" s="4"/>
      <c r="S2" s="4"/>
      <c r="V2" s="4"/>
      <c r="W2" s="4"/>
      <c r="X2" s="4"/>
      <c r="Y2" s="4"/>
    </row>
    <row r="3" spans="1:25">
      <c r="A3" s="1" t="s">
        <v>2</v>
      </c>
      <c r="D3" s="4"/>
      <c r="E3" s="4"/>
      <c r="F3" s="4"/>
      <c r="G3" s="4"/>
      <c r="H3" s="3"/>
      <c r="J3" s="4"/>
      <c r="K3" s="4"/>
      <c r="L3" s="4"/>
      <c r="M3" s="4"/>
      <c r="P3" s="4"/>
      <c r="Q3" s="4"/>
      <c r="R3" s="4"/>
      <c r="S3" s="4"/>
      <c r="V3" s="4"/>
      <c r="W3" s="4"/>
      <c r="X3" s="4"/>
      <c r="Y3" s="4"/>
    </row>
    <row r="4" spans="1:25">
      <c r="A4" s="6"/>
      <c r="B4" s="36" t="s">
        <v>15</v>
      </c>
      <c r="C4" s="37"/>
      <c r="D4" s="37"/>
      <c r="E4" s="37"/>
      <c r="F4" s="37"/>
      <c r="G4" s="38"/>
      <c r="H4" s="36" t="s">
        <v>16</v>
      </c>
      <c r="I4" s="37"/>
      <c r="J4" s="37"/>
      <c r="K4" s="37"/>
      <c r="L4" s="37"/>
      <c r="M4" s="38"/>
      <c r="N4" s="36" t="s">
        <v>17</v>
      </c>
      <c r="O4" s="37"/>
      <c r="P4" s="37"/>
      <c r="Q4" s="37"/>
      <c r="R4" s="37"/>
      <c r="S4" s="38"/>
      <c r="T4" s="37" t="s">
        <v>18</v>
      </c>
      <c r="U4" s="37"/>
      <c r="V4" s="37"/>
      <c r="W4" s="37"/>
      <c r="X4" s="37"/>
      <c r="Y4" s="37"/>
    </row>
    <row r="5" spans="1:25">
      <c r="A5" s="6" t="s">
        <v>3</v>
      </c>
      <c r="B5" s="9" t="s">
        <v>4</v>
      </c>
      <c r="C5" s="8" t="s">
        <v>5</v>
      </c>
      <c r="D5" s="10" t="s">
        <v>7</v>
      </c>
      <c r="E5" s="10" t="s">
        <v>10</v>
      </c>
      <c r="F5" s="10" t="s">
        <v>8</v>
      </c>
      <c r="G5" s="11" t="s">
        <v>9</v>
      </c>
      <c r="H5" s="7" t="s">
        <v>4</v>
      </c>
      <c r="I5" s="8" t="s">
        <v>5</v>
      </c>
      <c r="J5" s="10" t="s">
        <v>7</v>
      </c>
      <c r="K5" s="10" t="s">
        <v>10</v>
      </c>
      <c r="L5" s="10" t="s">
        <v>8</v>
      </c>
      <c r="M5" s="11" t="s">
        <v>9</v>
      </c>
      <c r="N5" s="9" t="s">
        <v>4</v>
      </c>
      <c r="O5" s="8" t="s">
        <v>5</v>
      </c>
      <c r="P5" s="10" t="s">
        <v>7</v>
      </c>
      <c r="Q5" s="10" t="s">
        <v>10</v>
      </c>
      <c r="R5" s="10" t="s">
        <v>8</v>
      </c>
      <c r="S5" s="11" t="s">
        <v>9</v>
      </c>
      <c r="T5" s="12" t="s">
        <v>4</v>
      </c>
      <c r="U5" s="8" t="s">
        <v>5</v>
      </c>
      <c r="V5" s="10" t="s">
        <v>7</v>
      </c>
      <c r="W5" s="10" t="s">
        <v>10</v>
      </c>
      <c r="X5" s="10" t="s">
        <v>8</v>
      </c>
      <c r="Y5" s="11" t="s">
        <v>9</v>
      </c>
    </row>
    <row r="6" spans="1:25">
      <c r="A6" s="13">
        <v>3000</v>
      </c>
      <c r="B6" s="14">
        <v>60</v>
      </c>
      <c r="C6" s="13">
        <f>A6/B6</f>
        <v>50</v>
      </c>
      <c r="D6" s="15">
        <v>5.3460189050698798E-2</v>
      </c>
      <c r="E6" s="15">
        <v>4.3287657985151599E-2</v>
      </c>
      <c r="F6" s="15">
        <v>8.2434079612310398E-4</v>
      </c>
      <c r="G6" s="16">
        <v>0.19871610606972601</v>
      </c>
      <c r="H6" s="17">
        <f>A6/I6</f>
        <v>30</v>
      </c>
      <c r="I6" s="13">
        <v>100</v>
      </c>
      <c r="J6" s="15">
        <v>4.4124024365782201E-2</v>
      </c>
      <c r="K6" s="15">
        <v>5.9413042650119201E-2</v>
      </c>
      <c r="L6" s="15">
        <v>7.0699988471439998E-4</v>
      </c>
      <c r="M6" s="16">
        <v>0.36258842413979497</v>
      </c>
      <c r="N6" s="14">
        <f>A6/O6</f>
        <v>60</v>
      </c>
      <c r="O6" s="13">
        <v>50</v>
      </c>
      <c r="P6" s="15">
        <v>5.3460189050698798E-2</v>
      </c>
      <c r="Q6" s="15">
        <v>4.3287657985151599E-2</v>
      </c>
      <c r="R6" s="15">
        <v>8.2434079612310398E-4</v>
      </c>
      <c r="S6" s="18">
        <v>0.19871610606972601</v>
      </c>
      <c r="T6" s="19">
        <f>A6/U6</f>
        <v>20</v>
      </c>
      <c r="U6" s="13">
        <v>150</v>
      </c>
      <c r="V6" s="15" t="s">
        <v>11</v>
      </c>
      <c r="W6" s="15" t="s">
        <v>11</v>
      </c>
      <c r="X6" s="15" t="s">
        <v>11</v>
      </c>
      <c r="Y6" s="15" t="s">
        <v>11</v>
      </c>
    </row>
    <row r="7" spans="1:25">
      <c r="A7" s="13">
        <v>6000</v>
      </c>
      <c r="B7" s="14">
        <v>60</v>
      </c>
      <c r="C7" s="13">
        <f t="shared" ref="C7:C15" si="0">A7/B7</f>
        <v>100</v>
      </c>
      <c r="D7" s="15">
        <v>1.1215781710938099E-2</v>
      </c>
      <c r="E7" s="15">
        <v>1.17668583876923E-2</v>
      </c>
      <c r="F7" s="15">
        <v>1.8758104316846E-4</v>
      </c>
      <c r="G7" s="16">
        <v>5.8310994325958897E-2</v>
      </c>
      <c r="H7" s="17">
        <f t="shared" ref="H7:H15" si="1">A7/I7</f>
        <v>60</v>
      </c>
      <c r="I7" s="13">
        <v>100</v>
      </c>
      <c r="J7" s="15">
        <v>1.1215781710938099E-2</v>
      </c>
      <c r="K7" s="15">
        <v>1.17668583876923E-2</v>
      </c>
      <c r="L7" s="15">
        <v>1.8758104316846E-4</v>
      </c>
      <c r="M7" s="16">
        <v>5.8310994325958897E-2</v>
      </c>
      <c r="N7" s="14">
        <f t="shared" ref="N7:N15" si="2">A7/O7</f>
        <v>120</v>
      </c>
      <c r="O7" s="13">
        <v>50</v>
      </c>
      <c r="P7" s="15">
        <v>4.7843756131836099E-2</v>
      </c>
      <c r="Q7" s="15">
        <v>3.3745726076114903E-2</v>
      </c>
      <c r="R7" s="15">
        <v>6.7801445345715995E-4</v>
      </c>
      <c r="S7" s="16">
        <v>0.14411234184993499</v>
      </c>
      <c r="T7" s="19">
        <f t="shared" ref="T7:T15" si="3">A7/U7</f>
        <v>40</v>
      </c>
      <c r="U7" s="13">
        <v>150</v>
      </c>
      <c r="V7" s="15">
        <v>8.3149944339678799E-3</v>
      </c>
      <c r="W7" s="15">
        <v>1.03927159089171E-2</v>
      </c>
      <c r="X7" s="15">
        <v>1.55219148598934E-4</v>
      </c>
      <c r="Y7" s="15">
        <v>5.6242275262531803E-2</v>
      </c>
    </row>
    <row r="8" spans="1:25">
      <c r="A8" s="2">
        <v>9000</v>
      </c>
      <c r="B8" s="14">
        <v>60</v>
      </c>
      <c r="C8" s="13">
        <f t="shared" si="0"/>
        <v>150</v>
      </c>
      <c r="D8" s="15">
        <v>5.2007708278361603E-3</v>
      </c>
      <c r="E8" s="15">
        <v>6.1225495324353802E-3</v>
      </c>
      <c r="F8" s="15">
        <v>8.5742545114637396E-5</v>
      </c>
      <c r="G8" s="16">
        <v>3.1625432801429501E-2</v>
      </c>
      <c r="H8" s="17">
        <f t="shared" si="1"/>
        <v>90</v>
      </c>
      <c r="I8" s="13">
        <v>100</v>
      </c>
      <c r="J8" s="15">
        <v>9.1798221725817707E-3</v>
      </c>
      <c r="K8" s="15">
        <v>8.6703100978707294E-3</v>
      </c>
      <c r="L8" s="15">
        <v>1.3844159074494E-4</v>
      </c>
      <c r="M8" s="16">
        <v>4.06335255188853E-2</v>
      </c>
      <c r="N8" s="14">
        <f t="shared" si="2"/>
        <v>180</v>
      </c>
      <c r="O8" s="13">
        <v>50</v>
      </c>
      <c r="P8" s="15">
        <v>4.9320690663951297E-2</v>
      </c>
      <c r="Q8" s="15">
        <v>3.4712591736825199E-2</v>
      </c>
      <c r="R8" s="15">
        <v>4.6021234135197998E-4</v>
      </c>
      <c r="S8" s="16">
        <v>0.14628808236372401</v>
      </c>
      <c r="T8" s="19">
        <f t="shared" si="3"/>
        <v>60</v>
      </c>
      <c r="U8" s="13">
        <v>150</v>
      </c>
      <c r="V8" s="15">
        <v>5.2007708278361603E-3</v>
      </c>
      <c r="W8" s="15">
        <v>6.1225495324353802E-3</v>
      </c>
      <c r="X8" s="15">
        <v>8.5742545114637396E-5</v>
      </c>
      <c r="Y8" s="15">
        <v>3.1625432801429501E-2</v>
      </c>
    </row>
    <row r="9" spans="1:25">
      <c r="A9" s="2">
        <v>12000</v>
      </c>
      <c r="B9" s="14">
        <v>60</v>
      </c>
      <c r="C9" s="13">
        <f t="shared" si="0"/>
        <v>200</v>
      </c>
      <c r="D9" s="15">
        <v>3.28934507602038E-3</v>
      </c>
      <c r="E9" s="15">
        <v>4.1254121327526597E-3</v>
      </c>
      <c r="F9" s="15">
        <v>6.01833041631818E-5</v>
      </c>
      <c r="G9" s="16">
        <v>2.2598595903144201E-2</v>
      </c>
      <c r="H9" s="17">
        <f t="shared" si="1"/>
        <v>120</v>
      </c>
      <c r="I9" s="13">
        <v>100</v>
      </c>
      <c r="J9" s="15">
        <v>8.6149383435433699E-3</v>
      </c>
      <c r="K9" s="15">
        <v>7.6178481487727996E-3</v>
      </c>
      <c r="L9" s="15">
        <v>1.2430564597108799E-4</v>
      </c>
      <c r="M9" s="16">
        <v>3.4973827425175998E-2</v>
      </c>
      <c r="N9" s="14">
        <f t="shared" si="2"/>
        <v>240</v>
      </c>
      <c r="O9" s="13">
        <v>50</v>
      </c>
      <c r="P9" s="15">
        <v>4.8936139548293699E-2</v>
      </c>
      <c r="Q9" s="15">
        <v>3.3501290776001703E-2</v>
      </c>
      <c r="R9" s="15">
        <v>4.5724032865755601E-4</v>
      </c>
      <c r="S9" s="16">
        <v>0.137600881133427</v>
      </c>
      <c r="T9" s="19">
        <f t="shared" si="3"/>
        <v>80</v>
      </c>
      <c r="U9" s="13">
        <v>150</v>
      </c>
      <c r="V9" s="15">
        <v>4.0651379974976096E-3</v>
      </c>
      <c r="W9" s="15">
        <v>4.5551714347855802E-3</v>
      </c>
      <c r="X9" s="15">
        <v>6.8807215808873898E-5</v>
      </c>
      <c r="Y9" s="15">
        <v>2.3652729925757499E-2</v>
      </c>
    </row>
    <row r="10" spans="1:25">
      <c r="A10" s="2">
        <v>15000</v>
      </c>
      <c r="B10" s="14">
        <v>60</v>
      </c>
      <c r="C10" s="13">
        <f t="shared" si="0"/>
        <v>250</v>
      </c>
      <c r="D10" s="15">
        <v>2.4316271104238701E-3</v>
      </c>
      <c r="E10" s="15">
        <v>3.1498864959520899E-3</v>
      </c>
      <c r="F10" s="15">
        <v>4.2024698987362202E-5</v>
      </c>
      <c r="G10" s="16">
        <v>1.7801950534454901E-2</v>
      </c>
      <c r="H10" s="17">
        <f t="shared" si="1"/>
        <v>150</v>
      </c>
      <c r="I10" s="13">
        <v>100</v>
      </c>
      <c r="J10" s="15">
        <v>8.8793685104955906E-3</v>
      </c>
      <c r="K10" s="15">
        <v>7.6331545375922299E-3</v>
      </c>
      <c r="L10" s="15">
        <v>1.01750019717705E-4</v>
      </c>
      <c r="M10" s="16">
        <v>3.2718114347360203E-2</v>
      </c>
      <c r="N10" s="14">
        <f t="shared" si="2"/>
        <v>300</v>
      </c>
      <c r="O10" s="13">
        <v>50</v>
      </c>
      <c r="P10" s="15">
        <v>4.8487779626872202E-2</v>
      </c>
      <c r="Q10" s="15">
        <v>3.2679888415008698E-2</v>
      </c>
      <c r="R10" s="15">
        <v>3.8431358189205001E-4</v>
      </c>
      <c r="S10" s="16">
        <v>0.1321581068032</v>
      </c>
      <c r="T10" s="19">
        <f t="shared" si="3"/>
        <v>100</v>
      </c>
      <c r="U10" s="13">
        <v>150</v>
      </c>
      <c r="V10" s="15">
        <v>3.7231660503044598E-3</v>
      </c>
      <c r="W10" s="15">
        <v>3.9858418573865797E-3</v>
      </c>
      <c r="X10" s="15">
        <v>5.5277044296379498E-5</v>
      </c>
      <c r="Y10" s="15">
        <v>1.9642804639207902E-2</v>
      </c>
    </row>
    <row r="11" spans="1:25">
      <c r="A11" s="2">
        <v>18000</v>
      </c>
      <c r="B11" s="14">
        <v>60</v>
      </c>
      <c r="C11" s="13">
        <f t="shared" si="0"/>
        <v>300</v>
      </c>
      <c r="D11" s="15">
        <v>1.93626881073682E-3</v>
      </c>
      <c r="E11" s="15">
        <v>2.52853919355496E-3</v>
      </c>
      <c r="F11" s="15">
        <v>3.4830774099576903E-5</v>
      </c>
      <c r="G11" s="16">
        <v>1.4237548072610099E-2</v>
      </c>
      <c r="H11" s="17">
        <f t="shared" si="1"/>
        <v>180</v>
      </c>
      <c r="I11" s="13">
        <v>100</v>
      </c>
      <c r="J11" s="15">
        <v>8.8006744733193799E-3</v>
      </c>
      <c r="K11" s="15">
        <v>7.5925742588483797E-3</v>
      </c>
      <c r="L11" s="15">
        <v>9.7559913946002896E-5</v>
      </c>
      <c r="M11" s="16">
        <v>3.4298946976346403E-2</v>
      </c>
      <c r="N11" s="14">
        <f t="shared" si="2"/>
        <v>360</v>
      </c>
      <c r="O11" s="13">
        <v>50</v>
      </c>
      <c r="P11" s="15">
        <v>4.8989472246341897E-2</v>
      </c>
      <c r="Q11" s="15">
        <v>3.2483187086496203E-2</v>
      </c>
      <c r="R11" s="15">
        <v>4.0223104835884001E-4</v>
      </c>
      <c r="S11" s="16">
        <v>0.12886096841757999</v>
      </c>
      <c r="T11" s="19">
        <f t="shared" si="3"/>
        <v>120</v>
      </c>
      <c r="U11" s="13">
        <v>150</v>
      </c>
      <c r="V11" s="15">
        <v>3.3960399569047798E-3</v>
      </c>
      <c r="W11" s="15">
        <v>3.5001060281764601E-3</v>
      </c>
      <c r="X11" s="15">
        <v>5.1727164178019102E-5</v>
      </c>
      <c r="Y11" s="15">
        <v>1.7398556035076802E-2</v>
      </c>
    </row>
    <row r="12" spans="1:25">
      <c r="A12" s="2">
        <v>21000</v>
      </c>
      <c r="B12" s="14">
        <v>60</v>
      </c>
      <c r="C12" s="13">
        <f t="shared" si="0"/>
        <v>350</v>
      </c>
      <c r="D12" s="15">
        <v>1.62117099330339E-3</v>
      </c>
      <c r="E12" s="15">
        <v>2.1440482597471899E-3</v>
      </c>
      <c r="F12" s="15">
        <v>2.6910808653741999E-5</v>
      </c>
      <c r="G12" s="16">
        <v>1.2077642307194301E-2</v>
      </c>
      <c r="H12" s="17">
        <f t="shared" si="1"/>
        <v>210</v>
      </c>
      <c r="I12" s="13">
        <v>100</v>
      </c>
      <c r="J12" s="15">
        <v>8.7844644304950308E-3</v>
      </c>
      <c r="K12" s="15">
        <v>7.2904706142720502E-3</v>
      </c>
      <c r="L12" s="15">
        <v>9.3336423505707597E-5</v>
      </c>
      <c r="M12" s="16">
        <v>3.10139399574835E-2</v>
      </c>
      <c r="N12" s="14">
        <f t="shared" si="2"/>
        <v>420</v>
      </c>
      <c r="O12" s="13">
        <v>50</v>
      </c>
      <c r="P12" s="15">
        <v>4.9407130029930101E-2</v>
      </c>
      <c r="Q12" s="15">
        <v>3.3306280434159799E-2</v>
      </c>
      <c r="R12" s="15">
        <v>3.3466746927003399E-4</v>
      </c>
      <c r="S12" s="16">
        <v>0.130298603535344</v>
      </c>
      <c r="T12" s="19">
        <f t="shared" si="3"/>
        <v>140</v>
      </c>
      <c r="U12" s="13">
        <v>150</v>
      </c>
      <c r="V12" s="15">
        <v>3.4811144736186799E-3</v>
      </c>
      <c r="W12" s="15">
        <v>3.4512519860170798E-3</v>
      </c>
      <c r="X12" s="15">
        <v>4.4591197768537597E-5</v>
      </c>
      <c r="Y12" s="15">
        <v>1.6781553669390398E-2</v>
      </c>
    </row>
    <row r="13" spans="1:25">
      <c r="A13" s="2">
        <v>24000</v>
      </c>
      <c r="B13" s="14">
        <v>60</v>
      </c>
      <c r="C13" s="13">
        <f t="shared" si="0"/>
        <v>400</v>
      </c>
      <c r="D13" s="15">
        <v>1.42113677031117E-3</v>
      </c>
      <c r="E13" s="15">
        <v>1.8753020707324799E-3</v>
      </c>
      <c r="F13" s="15">
        <v>2.2945840112455702E-5</v>
      </c>
      <c r="G13" s="16">
        <v>1.0566400757243501E-2</v>
      </c>
      <c r="H13" s="17">
        <f t="shared" si="1"/>
        <v>240</v>
      </c>
      <c r="I13" s="13">
        <v>100</v>
      </c>
      <c r="J13" s="15">
        <v>8.6225864596767305E-3</v>
      </c>
      <c r="K13" s="15">
        <v>7.1476289838839401E-3</v>
      </c>
      <c r="L13" s="15">
        <v>7.8758880026730206E-5</v>
      </c>
      <c r="M13" s="16">
        <v>3.00964049123707E-2</v>
      </c>
      <c r="N13" s="14">
        <f t="shared" si="2"/>
        <v>480</v>
      </c>
      <c r="O13" s="13">
        <v>50</v>
      </c>
      <c r="P13" s="15">
        <v>4.9080491357131599E-2</v>
      </c>
      <c r="Q13" s="15">
        <v>3.3070281158726997E-2</v>
      </c>
      <c r="R13" s="15">
        <v>3.4361803109454303E-4</v>
      </c>
      <c r="S13" s="16">
        <v>0.12853211046185301</v>
      </c>
      <c r="T13" s="19">
        <f t="shared" si="3"/>
        <v>160</v>
      </c>
      <c r="U13" s="13">
        <v>150</v>
      </c>
      <c r="V13" s="15">
        <v>3.3550207467400298E-3</v>
      </c>
      <c r="W13" s="15">
        <v>3.3296460607981598E-3</v>
      </c>
      <c r="X13" s="15">
        <v>4.1440815689810302E-5</v>
      </c>
      <c r="Y13" s="15">
        <v>1.6223367387957099E-2</v>
      </c>
    </row>
    <row r="14" spans="1:25">
      <c r="A14" s="2">
        <v>27000</v>
      </c>
      <c r="B14" s="14">
        <v>60</v>
      </c>
      <c r="C14" s="13">
        <f t="shared" si="0"/>
        <v>450</v>
      </c>
      <c r="D14" s="15">
        <v>1.2613609277526299E-3</v>
      </c>
      <c r="E14" s="15">
        <v>1.6707016417175299E-3</v>
      </c>
      <c r="F14" s="15">
        <v>2.0756474034214601E-5</v>
      </c>
      <c r="G14" s="16">
        <v>9.5607387853897195E-3</v>
      </c>
      <c r="H14" s="17">
        <f t="shared" si="1"/>
        <v>270</v>
      </c>
      <c r="I14" s="13">
        <v>100</v>
      </c>
      <c r="J14" s="15">
        <v>8.4743365262737597E-3</v>
      </c>
      <c r="K14" s="15">
        <v>6.8087231794821002E-3</v>
      </c>
      <c r="L14" s="15">
        <v>7.6225467733294393E-5</v>
      </c>
      <c r="M14" s="16">
        <v>2.8055695235011599E-2</v>
      </c>
      <c r="N14" s="14">
        <f t="shared" si="2"/>
        <v>540</v>
      </c>
      <c r="O14" s="13">
        <v>50</v>
      </c>
      <c r="P14" s="15">
        <v>4.8774866271996301E-2</v>
      </c>
      <c r="Q14" s="15">
        <v>3.2461197596928899E-2</v>
      </c>
      <c r="R14" s="15">
        <v>3.8182180395807699E-4</v>
      </c>
      <c r="S14" s="16">
        <v>0.125247847487964</v>
      </c>
      <c r="T14" s="19">
        <f t="shared" si="3"/>
        <v>180</v>
      </c>
      <c r="U14" s="13">
        <v>150</v>
      </c>
      <c r="V14" s="15">
        <v>3.3135052253531602E-3</v>
      </c>
      <c r="W14" s="15">
        <v>3.28838930336958E-3</v>
      </c>
      <c r="X14" s="15">
        <v>4.0102701165845698E-5</v>
      </c>
      <c r="Y14" s="15">
        <v>1.6017954986882198E-2</v>
      </c>
    </row>
    <row r="15" spans="1:25">
      <c r="A15" s="20">
        <v>30000</v>
      </c>
      <c r="B15" s="14">
        <v>60</v>
      </c>
      <c r="C15" s="21">
        <f t="shared" si="0"/>
        <v>500</v>
      </c>
      <c r="D15" s="22">
        <v>1.1497801654453399E-3</v>
      </c>
      <c r="E15" s="22">
        <v>1.5168547877526201E-3</v>
      </c>
      <c r="F15" s="22">
        <v>1.6497704757714899E-5</v>
      </c>
      <c r="G15" s="23">
        <v>8.7562480570148107E-3</v>
      </c>
      <c r="H15" s="24">
        <f t="shared" si="1"/>
        <v>300</v>
      </c>
      <c r="I15" s="21">
        <v>100</v>
      </c>
      <c r="J15" s="22">
        <v>8.3200787820422294E-3</v>
      </c>
      <c r="K15" s="22">
        <v>6.6337195299597598E-3</v>
      </c>
      <c r="L15" s="22">
        <v>6.6261104580316203E-5</v>
      </c>
      <c r="M15" s="23">
        <v>2.76005993796971E-2</v>
      </c>
      <c r="N15" s="25">
        <f t="shared" si="2"/>
        <v>600</v>
      </c>
      <c r="O15" s="21">
        <v>50</v>
      </c>
      <c r="P15" s="22">
        <v>4.8982197214917998E-2</v>
      </c>
      <c r="Q15" s="22">
        <v>3.2622982232785001E-2</v>
      </c>
      <c r="R15" s="22">
        <v>3.5985548797844499E-4</v>
      </c>
      <c r="S15" s="23">
        <v>0.126301480534243</v>
      </c>
      <c r="T15" s="26">
        <f t="shared" si="3"/>
        <v>200</v>
      </c>
      <c r="U15" s="21">
        <v>150</v>
      </c>
      <c r="V15" s="22">
        <v>3.0805482316114499E-3</v>
      </c>
      <c r="W15" s="22">
        <v>2.9759815285960098E-3</v>
      </c>
      <c r="X15" s="22">
        <v>3.3054308911324599E-5</v>
      </c>
      <c r="Y15" s="22">
        <v>1.41728507542119E-2</v>
      </c>
    </row>
    <row r="16" spans="1:25">
      <c r="B16" s="27"/>
      <c r="C16" s="13"/>
      <c r="D16" s="15"/>
      <c r="E16" s="15"/>
      <c r="F16" s="15"/>
      <c r="G16" s="15"/>
      <c r="H16" s="27"/>
      <c r="I16" s="13"/>
      <c r="J16" s="15"/>
      <c r="K16" s="15"/>
      <c r="L16" s="15"/>
      <c r="M16" s="15"/>
      <c r="N16" s="27"/>
      <c r="O16" s="13"/>
      <c r="P16" s="15"/>
      <c r="Q16" s="15"/>
      <c r="R16" s="15"/>
      <c r="S16" s="15"/>
      <c r="T16" s="19"/>
      <c r="U16" s="13"/>
      <c r="V16" s="15"/>
      <c r="W16" s="15"/>
      <c r="X16" s="15"/>
      <c r="Y16" s="15"/>
    </row>
    <row r="17" spans="1:25">
      <c r="B17" s="27"/>
      <c r="C17" s="13"/>
      <c r="D17" s="15"/>
      <c r="E17" s="15"/>
      <c r="F17" s="15"/>
      <c r="G17" s="15"/>
      <c r="J17" s="4"/>
      <c r="K17" s="4"/>
      <c r="L17" s="4"/>
      <c r="M17" s="4"/>
      <c r="P17" s="4"/>
      <c r="Q17" s="4"/>
      <c r="R17" s="4"/>
      <c r="S17" s="4"/>
      <c r="V17" s="4"/>
      <c r="W17" s="4"/>
      <c r="X17" s="4"/>
      <c r="Y17" s="4"/>
    </row>
    <row r="18" spans="1:25">
      <c r="B18" s="27"/>
      <c r="C18" s="13"/>
      <c r="D18" s="15"/>
      <c r="E18" s="15"/>
      <c r="F18" s="15"/>
      <c r="G18" s="15"/>
      <c r="J18" s="4"/>
      <c r="K18" s="4"/>
      <c r="L18" s="4"/>
      <c r="M18" s="4"/>
      <c r="P18" s="4"/>
      <c r="Q18" s="4"/>
      <c r="R18" s="4"/>
      <c r="S18" s="4"/>
      <c r="V18" s="4"/>
      <c r="W18" s="4"/>
      <c r="X18" s="4"/>
      <c r="Y18" s="4"/>
    </row>
    <row r="19" spans="1:25">
      <c r="A19" s="1" t="s">
        <v>6</v>
      </c>
      <c r="D19" s="4"/>
      <c r="E19" s="4"/>
      <c r="F19" s="4"/>
      <c r="G19" s="4"/>
      <c r="H19" s="3"/>
      <c r="J19" s="4"/>
      <c r="K19" s="4"/>
      <c r="L19" s="4"/>
      <c r="M19" s="4"/>
      <c r="P19" s="4"/>
      <c r="Q19" s="4"/>
      <c r="R19" s="4"/>
      <c r="S19" s="4"/>
      <c r="V19" s="4"/>
      <c r="W19" s="4"/>
      <c r="X19" s="4"/>
      <c r="Y19" s="4"/>
    </row>
    <row r="20" spans="1:25">
      <c r="A20" s="6"/>
      <c r="B20" s="36" t="s">
        <v>15</v>
      </c>
      <c r="C20" s="37"/>
      <c r="D20" s="37"/>
      <c r="E20" s="37"/>
      <c r="F20" s="37"/>
      <c r="G20" s="38"/>
      <c r="H20" s="36" t="s">
        <v>16</v>
      </c>
      <c r="I20" s="37"/>
      <c r="J20" s="37"/>
      <c r="K20" s="37"/>
      <c r="L20" s="37"/>
      <c r="M20" s="38"/>
      <c r="N20" s="36" t="s">
        <v>17</v>
      </c>
      <c r="O20" s="37"/>
      <c r="P20" s="37"/>
      <c r="Q20" s="37"/>
      <c r="R20" s="37"/>
      <c r="S20" s="38"/>
      <c r="T20" s="37" t="s">
        <v>18</v>
      </c>
      <c r="U20" s="37"/>
      <c r="V20" s="37"/>
      <c r="W20" s="37"/>
      <c r="X20" s="37"/>
      <c r="Y20" s="37"/>
    </row>
    <row r="21" spans="1:25">
      <c r="A21" s="6" t="s">
        <v>3</v>
      </c>
      <c r="B21" s="7" t="s">
        <v>4</v>
      </c>
      <c r="C21" s="8" t="s">
        <v>5</v>
      </c>
      <c r="D21" s="10" t="s">
        <v>7</v>
      </c>
      <c r="E21" s="10" t="s">
        <v>10</v>
      </c>
      <c r="F21" s="10" t="s">
        <v>8</v>
      </c>
      <c r="G21" s="11" t="s">
        <v>9</v>
      </c>
      <c r="H21" s="7" t="s">
        <v>4</v>
      </c>
      <c r="I21" s="8" t="s">
        <v>5</v>
      </c>
      <c r="J21" s="10" t="s">
        <v>7</v>
      </c>
      <c r="K21" s="10" t="s">
        <v>10</v>
      </c>
      <c r="L21" s="10" t="s">
        <v>8</v>
      </c>
      <c r="M21" s="11" t="s">
        <v>9</v>
      </c>
      <c r="N21" s="9" t="s">
        <v>4</v>
      </c>
      <c r="O21" s="8" t="s">
        <v>5</v>
      </c>
      <c r="P21" s="10" t="s">
        <v>7</v>
      </c>
      <c r="Q21" s="10" t="s">
        <v>10</v>
      </c>
      <c r="R21" s="10" t="s">
        <v>8</v>
      </c>
      <c r="S21" s="11" t="s">
        <v>9</v>
      </c>
      <c r="T21" s="12" t="s">
        <v>4</v>
      </c>
      <c r="U21" s="8" t="s">
        <v>5</v>
      </c>
      <c r="V21" s="10" t="s">
        <v>7</v>
      </c>
      <c r="W21" s="10" t="s">
        <v>10</v>
      </c>
      <c r="X21" s="10" t="s">
        <v>8</v>
      </c>
      <c r="Y21" s="11" t="s">
        <v>9</v>
      </c>
    </row>
    <row r="22" spans="1:25">
      <c r="A22" s="13">
        <v>3000</v>
      </c>
      <c r="B22" s="14">
        <v>40</v>
      </c>
      <c r="C22" s="13">
        <v>75</v>
      </c>
      <c r="D22" s="15">
        <v>1.8904473163633001E-2</v>
      </c>
      <c r="E22" s="15">
        <v>1.6486625216663199E-2</v>
      </c>
      <c r="F22" s="15">
        <v>3.19864817670361E-4</v>
      </c>
      <c r="G22" s="16">
        <v>7.1277276610162296E-2</v>
      </c>
      <c r="H22" s="17">
        <v>30</v>
      </c>
      <c r="I22" s="13">
        <v>100</v>
      </c>
      <c r="J22" s="15">
        <v>1.15612840032307E-2</v>
      </c>
      <c r="K22" s="15">
        <v>1.140261144968E-2</v>
      </c>
      <c r="L22" s="15">
        <v>1.9960325222109901E-4</v>
      </c>
      <c r="M22" s="15">
        <v>5.2624608963214997E-2</v>
      </c>
      <c r="N22" s="14">
        <v>60</v>
      </c>
      <c r="O22" s="13">
        <v>50</v>
      </c>
      <c r="P22" s="15">
        <v>4.95091715616588E-2</v>
      </c>
      <c r="Q22" s="15">
        <v>3.5032035035591803E-2</v>
      </c>
      <c r="R22" s="15">
        <v>8.4563972435625697E-4</v>
      </c>
      <c r="S22" s="16">
        <v>0.147626670201331</v>
      </c>
      <c r="T22" s="19">
        <v>20</v>
      </c>
      <c r="U22" s="13">
        <v>150</v>
      </c>
      <c r="V22" s="15">
        <v>1.07681042442437E-2</v>
      </c>
      <c r="W22" s="15">
        <v>1.21450276830373E-2</v>
      </c>
      <c r="X22" s="15">
        <v>1.77620608371008E-4</v>
      </c>
      <c r="Y22" s="15">
        <v>6.2639293608475394E-2</v>
      </c>
    </row>
    <row r="23" spans="1:25">
      <c r="A23" s="13">
        <v>6000</v>
      </c>
      <c r="B23" s="14">
        <v>40</v>
      </c>
      <c r="C23" s="13">
        <v>150</v>
      </c>
      <c r="D23" s="15">
        <v>4.4057371529535099E-3</v>
      </c>
      <c r="E23" s="15">
        <v>4.7590871833782904E-3</v>
      </c>
      <c r="F23" s="15">
        <v>6.8274873815321401E-5</v>
      </c>
      <c r="G23" s="16">
        <v>2.32435849434325E-2</v>
      </c>
      <c r="H23" s="17">
        <v>60</v>
      </c>
      <c r="I23" s="13">
        <v>100</v>
      </c>
      <c r="J23" s="15">
        <v>9.0852970789965706E-3</v>
      </c>
      <c r="K23" s="15">
        <v>8.2917671712740993E-3</v>
      </c>
      <c r="L23" s="15">
        <v>1.2066814757238901E-4</v>
      </c>
      <c r="M23" s="15">
        <v>3.7277393128754097E-2</v>
      </c>
      <c r="N23" s="14">
        <v>120</v>
      </c>
      <c r="O23" s="13">
        <v>50</v>
      </c>
      <c r="P23" s="15">
        <v>4.6682520343740097E-2</v>
      </c>
      <c r="Q23" s="15">
        <v>3.26618394068229E-2</v>
      </c>
      <c r="R23" s="15">
        <v>5.0862112302030196E-4</v>
      </c>
      <c r="S23" s="16">
        <v>0.133267427454177</v>
      </c>
      <c r="T23" s="19">
        <v>40</v>
      </c>
      <c r="U23" s="13">
        <v>150</v>
      </c>
      <c r="V23" s="15">
        <v>4.4057371529535099E-3</v>
      </c>
      <c r="W23" s="15">
        <v>4.7590871833782904E-3</v>
      </c>
      <c r="X23" s="15">
        <v>6.8274873815321401E-5</v>
      </c>
      <c r="Y23" s="15">
        <v>2.32435849434325E-2</v>
      </c>
    </row>
    <row r="24" spans="1:25">
      <c r="A24" s="2">
        <v>9000</v>
      </c>
      <c r="B24" s="14">
        <v>40</v>
      </c>
      <c r="C24" s="13">
        <v>225</v>
      </c>
      <c r="D24" s="15">
        <v>2.4048093752899102E-3</v>
      </c>
      <c r="E24" s="15">
        <v>2.9255407320400899E-3</v>
      </c>
      <c r="F24" s="15">
        <v>3.5780747776807E-5</v>
      </c>
      <c r="G24" s="16">
        <v>1.5924594023474299E-2</v>
      </c>
      <c r="H24" s="14">
        <v>90</v>
      </c>
      <c r="I24" s="13">
        <v>100</v>
      </c>
      <c r="J24" s="15">
        <v>8.2695668671547203E-3</v>
      </c>
      <c r="K24" s="15">
        <v>7.4147134581301899E-3</v>
      </c>
      <c r="L24" s="15">
        <v>8.1776878925220701E-5</v>
      </c>
      <c r="M24" s="15">
        <v>3.19464816911572E-2</v>
      </c>
      <c r="N24" s="14">
        <v>180</v>
      </c>
      <c r="O24" s="13">
        <v>50</v>
      </c>
      <c r="P24" s="15">
        <v>4.7591091823577202E-2</v>
      </c>
      <c r="Q24" s="15">
        <v>3.4009688479502101E-2</v>
      </c>
      <c r="R24" s="15">
        <v>4.4256416155160098E-4</v>
      </c>
      <c r="S24" s="16">
        <v>0.137616090814624</v>
      </c>
      <c r="T24" s="19">
        <v>60</v>
      </c>
      <c r="U24" s="13">
        <v>150</v>
      </c>
      <c r="V24" s="15">
        <v>3.6583545980997702E-3</v>
      </c>
      <c r="W24" s="15">
        <v>3.8489727409298301E-3</v>
      </c>
      <c r="X24" s="15">
        <v>4.5153142277819503E-5</v>
      </c>
      <c r="Y24" s="15">
        <v>1.9194106841254902E-2</v>
      </c>
    </row>
    <row r="25" spans="1:25">
      <c r="A25" s="2">
        <v>12000</v>
      </c>
      <c r="B25" s="14">
        <v>40</v>
      </c>
      <c r="C25" s="13">
        <v>300</v>
      </c>
      <c r="D25" s="15">
        <v>1.7232411305784299E-3</v>
      </c>
      <c r="E25" s="15">
        <v>2.29120920391608E-3</v>
      </c>
      <c r="F25" s="15">
        <v>2.65564252903084E-5</v>
      </c>
      <c r="G25" s="16">
        <v>1.3261692046984901E-2</v>
      </c>
      <c r="H25" s="14">
        <v>120</v>
      </c>
      <c r="I25" s="13">
        <v>100</v>
      </c>
      <c r="J25" s="15">
        <v>7.8724229922317104E-3</v>
      </c>
      <c r="K25" s="15">
        <v>6.90359908170816E-3</v>
      </c>
      <c r="L25" s="15">
        <v>8.3836489704459697E-5</v>
      </c>
      <c r="M25" s="15">
        <v>2.9263899460075401E-2</v>
      </c>
      <c r="N25" s="14">
        <v>240</v>
      </c>
      <c r="O25" s="13">
        <v>50</v>
      </c>
      <c r="P25" s="15">
        <v>4.7358260253469703E-2</v>
      </c>
      <c r="Q25" s="15">
        <v>3.38398645776853E-2</v>
      </c>
      <c r="R25" s="15">
        <v>4.15468468052951E-4</v>
      </c>
      <c r="S25" s="16">
        <v>0.136598357081025</v>
      </c>
      <c r="T25" s="19">
        <v>80</v>
      </c>
      <c r="U25" s="13">
        <v>150</v>
      </c>
      <c r="V25" s="15">
        <v>3.3702103204263298E-3</v>
      </c>
      <c r="W25" s="15">
        <v>3.55274714173131E-3</v>
      </c>
      <c r="X25" s="15">
        <v>3.83728667959791E-5</v>
      </c>
      <c r="Y25" s="15">
        <v>1.74742376026462E-2</v>
      </c>
    </row>
    <row r="26" spans="1:25">
      <c r="A26" s="2">
        <v>15000</v>
      </c>
      <c r="B26" s="14">
        <v>41</v>
      </c>
      <c r="C26" s="13">
        <v>365</v>
      </c>
      <c r="D26" s="15">
        <v>1.47781059270718E-3</v>
      </c>
      <c r="E26" s="15">
        <v>2.0030017591310899E-3</v>
      </c>
      <c r="F26" s="15">
        <v>1.9651909189711699E-5</v>
      </c>
      <c r="G26" s="16">
        <v>1.1681631657222901E-2</v>
      </c>
      <c r="H26" s="14">
        <v>150</v>
      </c>
      <c r="I26" s="13">
        <v>100</v>
      </c>
      <c r="J26" s="15">
        <v>8.0913137323429807E-3</v>
      </c>
      <c r="K26" s="15">
        <v>7.0989779268803201E-3</v>
      </c>
      <c r="L26" s="15">
        <v>8.0780591401298195E-5</v>
      </c>
      <c r="M26" s="16">
        <v>2.9800968748891099E-2</v>
      </c>
      <c r="N26" s="14">
        <v>300</v>
      </c>
      <c r="O26" s="13">
        <v>50</v>
      </c>
      <c r="P26" s="15">
        <v>4.6946072840657598E-2</v>
      </c>
      <c r="Q26" s="15">
        <v>3.3265627230376599E-2</v>
      </c>
      <c r="R26" s="15">
        <v>3.8229913521716701E-4</v>
      </c>
      <c r="S26" s="16">
        <v>0.13410806103178599</v>
      </c>
      <c r="T26" s="19">
        <v>100</v>
      </c>
      <c r="U26" s="13">
        <v>150</v>
      </c>
      <c r="V26" s="15">
        <v>3.2133217524761598E-3</v>
      </c>
      <c r="W26" s="15">
        <v>3.3249325941228799E-3</v>
      </c>
      <c r="X26" s="15">
        <v>3.22739467033501E-5</v>
      </c>
      <c r="Y26" s="15">
        <v>1.5450416181172899E-2</v>
      </c>
    </row>
    <row r="27" spans="1:25">
      <c r="A27" s="2">
        <v>18000</v>
      </c>
      <c r="B27" s="14">
        <v>41</v>
      </c>
      <c r="C27" s="13">
        <v>439</v>
      </c>
      <c r="D27" s="15">
        <v>1.2826401016518599E-3</v>
      </c>
      <c r="E27" s="15">
        <v>1.7832283615062301E-3</v>
      </c>
      <c r="F27" s="15">
        <v>1.61865269226178E-5</v>
      </c>
      <c r="G27" s="16">
        <v>1.06305311094938E-2</v>
      </c>
      <c r="H27" s="14">
        <v>180</v>
      </c>
      <c r="I27" s="13">
        <v>100</v>
      </c>
      <c r="J27" s="15">
        <v>8.03557476129837E-3</v>
      </c>
      <c r="K27" s="15">
        <v>7.0812872720736799E-3</v>
      </c>
      <c r="L27" s="15">
        <v>6.0803930267937098E-5</v>
      </c>
      <c r="M27" s="16">
        <v>3.0059736174266601E-2</v>
      </c>
      <c r="N27" s="14">
        <v>360</v>
      </c>
      <c r="O27" s="13">
        <v>50</v>
      </c>
      <c r="P27" s="15">
        <v>4.7593667513953303E-2</v>
      </c>
      <c r="Q27" s="15">
        <v>3.3665835070819397E-2</v>
      </c>
      <c r="R27" s="15">
        <v>4.1512140986986901E-4</v>
      </c>
      <c r="S27" s="16">
        <v>0.13466520934460099</v>
      </c>
      <c r="T27" s="19">
        <v>120</v>
      </c>
      <c r="U27" s="13">
        <v>150</v>
      </c>
      <c r="V27" s="15">
        <v>2.9429245064992301E-3</v>
      </c>
      <c r="W27" s="15">
        <v>2.9778276081449599E-3</v>
      </c>
      <c r="X27" s="15">
        <v>2.6439159460256399E-5</v>
      </c>
      <c r="Y27" s="15">
        <v>1.38468672268332E-2</v>
      </c>
    </row>
    <row r="28" spans="1:25">
      <c r="A28" s="2">
        <v>21000</v>
      </c>
      <c r="B28" s="14">
        <v>41</v>
      </c>
      <c r="C28" s="13">
        <v>512</v>
      </c>
      <c r="D28" s="15">
        <v>1.1615174913365801E-3</v>
      </c>
      <c r="E28" s="15">
        <v>1.63717418062496E-3</v>
      </c>
      <c r="F28" s="15">
        <v>1.26546643421574E-5</v>
      </c>
      <c r="G28" s="16">
        <v>9.9163531024707308E-3</v>
      </c>
      <c r="H28" s="14">
        <v>210</v>
      </c>
      <c r="I28" s="13">
        <v>100</v>
      </c>
      <c r="J28" s="15">
        <v>8.0293042208134501E-3</v>
      </c>
      <c r="K28" s="15">
        <v>7.1109611785375804E-3</v>
      </c>
      <c r="L28" s="15">
        <v>5.9162187480115397E-5</v>
      </c>
      <c r="M28" s="16">
        <v>2.94989508061285E-2</v>
      </c>
      <c r="N28" s="14">
        <v>420</v>
      </c>
      <c r="O28" s="13">
        <v>50</v>
      </c>
      <c r="P28" s="15">
        <v>4.7505123847807897E-2</v>
      </c>
      <c r="Q28" s="15">
        <v>3.4139018820808699E-2</v>
      </c>
      <c r="R28" s="15">
        <v>3.8192392621016298E-4</v>
      </c>
      <c r="S28" s="16">
        <v>0.13579413260397599</v>
      </c>
      <c r="T28" s="19">
        <v>140</v>
      </c>
      <c r="U28" s="13">
        <v>150</v>
      </c>
      <c r="V28" s="15">
        <v>3.20406204027706E-3</v>
      </c>
      <c r="W28" s="15">
        <v>3.2678655269094601E-3</v>
      </c>
      <c r="X28" s="15">
        <v>2.35513032298747E-5</v>
      </c>
      <c r="Y28" s="15">
        <v>1.5049217395351901E-2</v>
      </c>
    </row>
    <row r="29" spans="1:25">
      <c r="A29" s="2">
        <v>24000</v>
      </c>
      <c r="B29" s="14">
        <v>42</v>
      </c>
      <c r="C29" s="13">
        <v>571</v>
      </c>
      <c r="D29" s="15">
        <v>1.00854183366477E-3</v>
      </c>
      <c r="E29" s="15">
        <v>1.54043188031774E-3</v>
      </c>
      <c r="F29" s="15">
        <v>1.0851861901167401E-5</v>
      </c>
      <c r="G29" s="16">
        <v>9.9528997718069893E-3</v>
      </c>
      <c r="H29" s="14">
        <v>240</v>
      </c>
      <c r="I29" s="13">
        <v>100</v>
      </c>
      <c r="J29" s="15">
        <v>7.9263285719491493E-3</v>
      </c>
      <c r="K29" s="15">
        <v>7.0091558717665604E-3</v>
      </c>
      <c r="L29" s="15">
        <v>5.0588842764375001E-5</v>
      </c>
      <c r="M29" s="16">
        <v>2.9126419752855001E-2</v>
      </c>
      <c r="N29" s="14">
        <v>480</v>
      </c>
      <c r="O29" s="13">
        <v>50</v>
      </c>
      <c r="P29" s="15">
        <v>4.7103089596617201E-2</v>
      </c>
      <c r="Q29" s="15">
        <v>3.3795467249287503E-2</v>
      </c>
      <c r="R29" s="15">
        <v>3.4236510725529798E-4</v>
      </c>
      <c r="S29" s="16">
        <v>0.134328349036647</v>
      </c>
      <c r="T29" s="19">
        <v>160</v>
      </c>
      <c r="U29" s="13">
        <v>150</v>
      </c>
      <c r="V29" s="15">
        <v>3.01127342387837E-3</v>
      </c>
      <c r="W29" s="15">
        <v>3.0647226397515501E-3</v>
      </c>
      <c r="X29" s="15">
        <v>2.3708142767883E-5</v>
      </c>
      <c r="Y29" s="15">
        <v>1.4220252924274999E-2</v>
      </c>
    </row>
    <row r="30" spans="1:25">
      <c r="A30" s="2">
        <v>27000</v>
      </c>
      <c r="B30" s="14">
        <v>42</v>
      </c>
      <c r="C30" s="13">
        <v>642</v>
      </c>
      <c r="D30" s="15">
        <v>9.4435601280333796E-4</v>
      </c>
      <c r="E30" s="15">
        <v>1.4608170368287799E-3</v>
      </c>
      <c r="F30" s="15">
        <v>9.9425295801415708E-6</v>
      </c>
      <c r="G30" s="16">
        <v>9.4265314229450402E-3</v>
      </c>
      <c r="H30" s="14">
        <v>270</v>
      </c>
      <c r="I30" s="13">
        <v>100</v>
      </c>
      <c r="J30" s="15">
        <v>7.7274755068005904E-3</v>
      </c>
      <c r="K30" s="15">
        <v>6.79277380838046E-3</v>
      </c>
      <c r="L30" s="15">
        <v>5.3283899008177301E-5</v>
      </c>
      <c r="M30" s="16">
        <v>2.8248407528393998E-2</v>
      </c>
      <c r="N30" s="14">
        <v>540</v>
      </c>
      <c r="O30" s="13">
        <v>50</v>
      </c>
      <c r="P30" s="15">
        <v>4.6996550423038699E-2</v>
      </c>
      <c r="Q30" s="15">
        <v>3.3441013087704897E-2</v>
      </c>
      <c r="R30" s="15">
        <v>3.5636126108071897E-4</v>
      </c>
      <c r="S30" s="16">
        <v>0.133345509280314</v>
      </c>
      <c r="T30" s="19">
        <v>180</v>
      </c>
      <c r="U30" s="13">
        <v>150</v>
      </c>
      <c r="V30" s="15">
        <v>2.9270665880030198E-3</v>
      </c>
      <c r="W30" s="15">
        <v>2.96704410018274E-3</v>
      </c>
      <c r="X30" s="15">
        <v>2.0505187130200402E-5</v>
      </c>
      <c r="Y30" s="15">
        <v>1.3630688511127999E-2</v>
      </c>
    </row>
    <row r="31" spans="1:25" ht="26" customHeight="1">
      <c r="A31" s="20">
        <v>30000</v>
      </c>
      <c r="B31" s="25">
        <v>42</v>
      </c>
      <c r="C31" s="21">
        <v>714</v>
      </c>
      <c r="D31" s="22">
        <v>8.9523712266848497E-4</v>
      </c>
      <c r="E31" s="22">
        <v>1.39412581608571E-3</v>
      </c>
      <c r="F31" s="22">
        <v>8.8068647545012895E-6</v>
      </c>
      <c r="G31" s="23">
        <v>8.8835446345945403E-3</v>
      </c>
      <c r="H31" s="25">
        <v>300</v>
      </c>
      <c r="I31" s="21">
        <v>100</v>
      </c>
      <c r="J31" s="22">
        <v>7.6194546231833802E-3</v>
      </c>
      <c r="K31" s="22">
        <v>6.6171328686170502E-3</v>
      </c>
      <c r="L31" s="22">
        <v>5.1418165785792302E-5</v>
      </c>
      <c r="M31" s="23">
        <v>2.7543105786898399E-2</v>
      </c>
      <c r="N31" s="25">
        <v>600</v>
      </c>
      <c r="O31" s="21">
        <v>50</v>
      </c>
      <c r="P31" s="22">
        <v>4.7104455493290599E-2</v>
      </c>
      <c r="Q31" s="22">
        <v>3.3798208427174702E-2</v>
      </c>
      <c r="R31" s="22">
        <v>3.6498296192976303E-4</v>
      </c>
      <c r="S31" s="23">
        <v>0.135143961281525</v>
      </c>
      <c r="T31" s="28">
        <v>200</v>
      </c>
      <c r="U31" s="21">
        <v>150</v>
      </c>
      <c r="V31" s="22">
        <v>2.76394192648178E-3</v>
      </c>
      <c r="W31" s="22">
        <v>2.8304089704630402E-3</v>
      </c>
      <c r="X31" s="22">
        <v>2.0046998287508601E-5</v>
      </c>
      <c r="Y31" s="22">
        <v>1.2687151107523499E-2</v>
      </c>
    </row>
    <row r="32" spans="1:25">
      <c r="A32" s="13"/>
      <c r="B32" s="27"/>
      <c r="C32" s="13"/>
      <c r="D32" s="15"/>
      <c r="E32" s="15"/>
      <c r="F32" s="15"/>
      <c r="G32" s="15"/>
      <c r="H32" s="27"/>
      <c r="I32" s="13"/>
      <c r="J32" s="15"/>
      <c r="K32" s="15"/>
      <c r="L32" s="15"/>
      <c r="M32" s="15"/>
      <c r="N32" s="27"/>
      <c r="O32" s="13"/>
      <c r="P32" s="15"/>
      <c r="Q32" s="15"/>
      <c r="R32" s="15"/>
      <c r="S32" s="15"/>
      <c r="T32" s="19"/>
      <c r="U32" s="13"/>
      <c r="V32" s="15"/>
      <c r="W32" s="15"/>
      <c r="X32" s="15"/>
      <c r="Y32" s="15"/>
    </row>
    <row r="35" spans="1:25">
      <c r="A35" s="1" t="s">
        <v>13</v>
      </c>
      <c r="D35" s="4"/>
      <c r="E35" s="4"/>
      <c r="F35" s="4"/>
      <c r="G35" s="4"/>
      <c r="H35" s="3"/>
      <c r="J35" s="4"/>
      <c r="K35" s="4"/>
      <c r="L35" s="4"/>
      <c r="M35" s="4"/>
      <c r="N35" s="2"/>
      <c r="P35" s="4"/>
      <c r="Q35" s="4"/>
      <c r="R35" s="4"/>
      <c r="S35" s="4"/>
      <c r="T35" s="2"/>
      <c r="V35" s="4"/>
      <c r="W35" s="4"/>
      <c r="X35" s="4"/>
      <c r="Y35" s="4"/>
    </row>
    <row r="36" spans="1:25">
      <c r="A36" s="6"/>
      <c r="B36" s="36" t="s">
        <v>15</v>
      </c>
      <c r="C36" s="37"/>
      <c r="D36" s="37"/>
      <c r="E36" s="37"/>
      <c r="F36" s="37"/>
      <c r="G36" s="38"/>
      <c r="H36" s="36" t="s">
        <v>16</v>
      </c>
      <c r="I36" s="37"/>
      <c r="J36" s="37"/>
      <c r="K36" s="37"/>
      <c r="L36" s="37"/>
      <c r="M36" s="38"/>
      <c r="N36" s="36" t="s">
        <v>17</v>
      </c>
      <c r="O36" s="37"/>
      <c r="P36" s="37"/>
      <c r="Q36" s="37"/>
      <c r="R36" s="37"/>
      <c r="S36" s="38"/>
      <c r="T36" s="37" t="s">
        <v>18</v>
      </c>
      <c r="U36" s="37"/>
      <c r="V36" s="37"/>
      <c r="W36" s="37"/>
      <c r="X36" s="37"/>
      <c r="Y36" s="37"/>
    </row>
    <row r="37" spans="1:25">
      <c r="A37" s="6" t="s">
        <v>3</v>
      </c>
      <c r="B37" s="9" t="s">
        <v>4</v>
      </c>
      <c r="C37" s="8" t="s">
        <v>5</v>
      </c>
      <c r="D37" s="10" t="s">
        <v>7</v>
      </c>
      <c r="E37" s="10" t="s">
        <v>10</v>
      </c>
      <c r="F37" s="10" t="s">
        <v>8</v>
      </c>
      <c r="G37" s="11" t="s">
        <v>9</v>
      </c>
      <c r="H37" s="7" t="s">
        <v>4</v>
      </c>
      <c r="I37" s="8" t="s">
        <v>5</v>
      </c>
      <c r="J37" s="10" t="s">
        <v>7</v>
      </c>
      <c r="K37" s="10" t="s">
        <v>10</v>
      </c>
      <c r="L37" s="10" t="s">
        <v>8</v>
      </c>
      <c r="M37" s="11" t="s">
        <v>9</v>
      </c>
      <c r="N37" s="7" t="s">
        <v>4</v>
      </c>
      <c r="O37" s="8" t="s">
        <v>5</v>
      </c>
      <c r="P37" s="10" t="s">
        <v>7</v>
      </c>
      <c r="Q37" s="10" t="s">
        <v>10</v>
      </c>
      <c r="R37" s="10" t="s">
        <v>8</v>
      </c>
      <c r="S37" s="18" t="s">
        <v>9</v>
      </c>
      <c r="T37" s="7" t="s">
        <v>4</v>
      </c>
      <c r="U37" s="8" t="s">
        <v>5</v>
      </c>
      <c r="V37" s="10" t="s">
        <v>7</v>
      </c>
      <c r="W37" s="10" t="s">
        <v>10</v>
      </c>
      <c r="X37" s="10" t="s">
        <v>8</v>
      </c>
      <c r="Y37" s="11" t="s">
        <v>9</v>
      </c>
    </row>
    <row r="38" spans="1:25">
      <c r="A38" s="29">
        <v>3000</v>
      </c>
      <c r="B38" s="14">
        <v>100</v>
      </c>
      <c r="C38" s="13">
        <v>30</v>
      </c>
      <c r="D38" s="15">
        <v>0.65870615109723196</v>
      </c>
      <c r="E38" s="15">
        <v>0.72160808408035904</v>
      </c>
      <c r="F38" s="15">
        <v>1.0005610709845399E-3</v>
      </c>
      <c r="G38" s="16">
        <v>2.5828402571619402</v>
      </c>
      <c r="H38" s="17">
        <v>30</v>
      </c>
      <c r="I38" s="13">
        <v>100</v>
      </c>
      <c r="J38" s="15">
        <v>0.88033473437763299</v>
      </c>
      <c r="K38" s="15">
        <v>0.98775120763073698</v>
      </c>
      <c r="L38" s="15">
        <v>1.10021408747522E-3</v>
      </c>
      <c r="M38" s="15">
        <v>3.8220748820108401</v>
      </c>
      <c r="N38" s="17">
        <v>60</v>
      </c>
      <c r="O38" s="13">
        <v>50</v>
      </c>
      <c r="P38" s="15">
        <v>0.70962660243645204</v>
      </c>
      <c r="Q38" s="15">
        <v>0.72414977039431805</v>
      </c>
      <c r="R38" s="15">
        <v>1.2331101639556201E-3</v>
      </c>
      <c r="S38" s="18">
        <v>3.10382183858896</v>
      </c>
      <c r="T38" s="13">
        <v>20</v>
      </c>
      <c r="U38" s="13">
        <v>150</v>
      </c>
      <c r="V38" s="15">
        <v>0.79365147460309504</v>
      </c>
      <c r="W38" s="15">
        <v>0.88492736772072</v>
      </c>
      <c r="X38" s="15">
        <v>2.42450775838469E-4</v>
      </c>
      <c r="Y38" s="15">
        <v>4.2826776587582298</v>
      </c>
    </row>
    <row r="39" spans="1:25">
      <c r="A39" s="29">
        <v>6000</v>
      </c>
      <c r="B39" s="14">
        <v>200</v>
      </c>
      <c r="C39" s="13">
        <v>30</v>
      </c>
      <c r="D39" s="15">
        <v>0.58325973413658005</v>
      </c>
      <c r="E39" s="15">
        <v>0.61532646851948902</v>
      </c>
      <c r="F39" s="15">
        <v>1.0582865406728299E-3</v>
      </c>
      <c r="G39" s="16">
        <v>2.6197202868687</v>
      </c>
      <c r="H39" s="17">
        <v>60</v>
      </c>
      <c r="I39" s="13">
        <v>100</v>
      </c>
      <c r="J39" s="15">
        <v>0.64665743669001097</v>
      </c>
      <c r="K39" s="15">
        <v>0.65236211114129905</v>
      </c>
      <c r="L39" s="15">
        <v>5.62973721888203E-4</v>
      </c>
      <c r="M39" s="15">
        <v>2.7324525797748498</v>
      </c>
      <c r="N39" s="17">
        <v>120</v>
      </c>
      <c r="O39" s="13">
        <v>50</v>
      </c>
      <c r="P39" s="15">
        <v>0.50290717054984402</v>
      </c>
      <c r="Q39" s="15">
        <v>0.60279852964520997</v>
      </c>
      <c r="R39" s="15">
        <v>1.00563947149653E-3</v>
      </c>
      <c r="S39" s="16">
        <v>3.3347236336899502</v>
      </c>
      <c r="T39" s="13">
        <v>40</v>
      </c>
      <c r="U39" s="13">
        <v>150</v>
      </c>
      <c r="V39" s="15">
        <v>0.77016684851465</v>
      </c>
      <c r="W39" s="15">
        <v>0.80231638106724901</v>
      </c>
      <c r="X39" s="15">
        <v>7.7089834860135395E-4</v>
      </c>
      <c r="Y39" s="15">
        <v>3.3424699721878799</v>
      </c>
    </row>
    <row r="40" spans="1:25">
      <c r="A40" s="29">
        <v>9000</v>
      </c>
      <c r="B40" s="14">
        <v>300</v>
      </c>
      <c r="C40" s="13">
        <v>30</v>
      </c>
      <c r="D40" s="15">
        <v>0.50460799440970505</v>
      </c>
      <c r="E40" s="15">
        <v>0.58541569203880195</v>
      </c>
      <c r="F40" s="15">
        <v>7.8971583681244103E-4</v>
      </c>
      <c r="G40" s="16">
        <v>2.4602199497631099</v>
      </c>
      <c r="H40" s="17">
        <v>90</v>
      </c>
      <c r="I40" s="13">
        <v>100</v>
      </c>
      <c r="J40" s="15">
        <v>0.45137388659347799</v>
      </c>
      <c r="K40" s="15">
        <v>0.551220445198632</v>
      </c>
      <c r="L40" s="15">
        <v>3.7213605641207501E-4</v>
      </c>
      <c r="M40" s="16">
        <v>3.0950777917030599</v>
      </c>
      <c r="N40" s="17">
        <v>180</v>
      </c>
      <c r="O40" s="13">
        <v>50</v>
      </c>
      <c r="P40" s="15">
        <v>0.44522310561370099</v>
      </c>
      <c r="Q40" s="15">
        <v>0.52632215874368804</v>
      </c>
      <c r="R40" s="15">
        <v>5.6945387229058095E-4</v>
      </c>
      <c r="S40" s="16">
        <v>2.11155979127052</v>
      </c>
      <c r="T40" s="13">
        <v>60</v>
      </c>
      <c r="U40" s="13">
        <v>150</v>
      </c>
      <c r="V40" s="4">
        <v>0.50568584014283402</v>
      </c>
      <c r="W40" s="4">
        <v>0.57826215249761703</v>
      </c>
      <c r="X40" s="4">
        <v>2.75855848800114E-4</v>
      </c>
      <c r="Y40" s="4">
        <v>2.7469742164659801</v>
      </c>
    </row>
    <row r="41" spans="1:25">
      <c r="A41" s="29">
        <v>12000</v>
      </c>
      <c r="B41" s="14">
        <v>342</v>
      </c>
      <c r="C41" s="13">
        <v>35</v>
      </c>
      <c r="D41" s="15">
        <v>0.43038120671742103</v>
      </c>
      <c r="E41" s="15">
        <v>0.483943348967599</v>
      </c>
      <c r="F41" s="15">
        <v>6.2166299574603102E-4</v>
      </c>
      <c r="G41" s="16">
        <v>2.1761230771941902</v>
      </c>
      <c r="H41" s="17">
        <v>120</v>
      </c>
      <c r="I41" s="13">
        <v>100</v>
      </c>
      <c r="J41" s="15">
        <v>0.446442200068974</v>
      </c>
      <c r="K41" s="15">
        <v>0.53922201025393302</v>
      </c>
      <c r="L41" s="15">
        <v>4.2369099735366201E-4</v>
      </c>
      <c r="M41" s="16">
        <v>3.0817338846412299</v>
      </c>
      <c r="N41" s="17">
        <v>240</v>
      </c>
      <c r="O41" s="13">
        <v>50</v>
      </c>
      <c r="P41" s="15">
        <v>0.40584584148307501</v>
      </c>
      <c r="Q41" s="15">
        <v>0.47213193658373998</v>
      </c>
      <c r="R41" s="15">
        <v>9.3991960383269305E-4</v>
      </c>
      <c r="S41" s="16">
        <v>2.1088973011479801</v>
      </c>
      <c r="T41" s="13">
        <v>80</v>
      </c>
      <c r="U41" s="13">
        <v>150</v>
      </c>
      <c r="V41" s="15">
        <v>0.51929760323522001</v>
      </c>
      <c r="W41" s="15">
        <v>0.64913593977820305</v>
      </c>
      <c r="X41" s="15">
        <v>2.03600149124355E-4</v>
      </c>
      <c r="Y41" s="15">
        <v>3.0461229620513</v>
      </c>
    </row>
    <row r="42" spans="1:25">
      <c r="A42" s="29">
        <v>15000</v>
      </c>
      <c r="B42" s="14">
        <v>428</v>
      </c>
      <c r="C42" s="13">
        <v>35</v>
      </c>
      <c r="D42" s="15">
        <v>0.377778066807191</v>
      </c>
      <c r="E42" s="15">
        <v>0.39766962498411301</v>
      </c>
      <c r="F42" s="15">
        <v>4.9270844147395701E-4</v>
      </c>
      <c r="G42" s="16">
        <v>1.5649059268218699</v>
      </c>
      <c r="H42" s="17">
        <v>150</v>
      </c>
      <c r="I42" s="13">
        <v>100</v>
      </c>
      <c r="J42" s="15">
        <v>0.38374401258464602</v>
      </c>
      <c r="K42" s="15">
        <v>0.46532035928413601</v>
      </c>
      <c r="L42" s="15">
        <v>3.1387227430605799E-4</v>
      </c>
      <c r="M42" s="16">
        <v>2.29484823922889</v>
      </c>
      <c r="N42" s="17">
        <v>300</v>
      </c>
      <c r="O42" s="13">
        <v>50</v>
      </c>
      <c r="P42" s="15">
        <v>0.382057843067237</v>
      </c>
      <c r="Q42" s="15">
        <v>0.47263461949815799</v>
      </c>
      <c r="R42" s="15">
        <v>4.9824523582036001E-4</v>
      </c>
      <c r="S42" s="16">
        <v>2.0101241548291702</v>
      </c>
      <c r="T42" s="13">
        <v>100</v>
      </c>
      <c r="U42" s="13">
        <v>150</v>
      </c>
      <c r="V42" s="15">
        <v>0.46030306261502402</v>
      </c>
      <c r="W42" s="15">
        <v>0.48615649894651197</v>
      </c>
      <c r="X42" s="15">
        <v>2.40756953651666E-4</v>
      </c>
      <c r="Y42" s="15">
        <v>2.0168532989532202</v>
      </c>
    </row>
    <row r="43" spans="1:25">
      <c r="A43" s="29">
        <v>18000</v>
      </c>
      <c r="B43" s="14">
        <v>514</v>
      </c>
      <c r="C43" s="13">
        <v>35</v>
      </c>
      <c r="D43" s="15">
        <v>0.38198041788215098</v>
      </c>
      <c r="E43" s="15">
        <v>0.406077930811582</v>
      </c>
      <c r="F43" s="15">
        <v>4.5721689749737902E-4</v>
      </c>
      <c r="G43" s="16">
        <v>1.72819995651739</v>
      </c>
      <c r="H43" s="17">
        <v>180</v>
      </c>
      <c r="I43" s="13">
        <v>100</v>
      </c>
      <c r="J43" s="15">
        <v>0.38547334572715403</v>
      </c>
      <c r="K43" s="15">
        <v>0.46991827649321199</v>
      </c>
      <c r="L43" s="15">
        <v>4.64212565005502E-4</v>
      </c>
      <c r="M43" s="16">
        <v>2.0087657355566799</v>
      </c>
      <c r="N43" s="17">
        <v>360</v>
      </c>
      <c r="O43" s="13">
        <v>50</v>
      </c>
      <c r="P43" s="15">
        <v>0.32130113834125101</v>
      </c>
      <c r="Q43" s="15">
        <v>0.36348010278951298</v>
      </c>
      <c r="R43" s="15">
        <v>4.26143365007733E-4</v>
      </c>
      <c r="S43" s="16">
        <v>1.7701274160800999</v>
      </c>
      <c r="T43" s="13">
        <v>120</v>
      </c>
      <c r="U43" s="13">
        <v>150</v>
      </c>
      <c r="V43" s="15">
        <v>0.42171348284397098</v>
      </c>
      <c r="W43" s="15">
        <v>0.482019059746292</v>
      </c>
      <c r="X43" s="15">
        <v>2.20954510464547E-4</v>
      </c>
      <c r="Y43" s="15">
        <v>2.1396360876995502</v>
      </c>
    </row>
    <row r="44" spans="1:25">
      <c r="A44" s="29">
        <v>21000</v>
      </c>
      <c r="B44" s="14">
        <v>600</v>
      </c>
      <c r="C44" s="13">
        <v>35</v>
      </c>
      <c r="D44" s="15">
        <v>0.36106334955345898</v>
      </c>
      <c r="E44" s="15">
        <v>0.396091870036681</v>
      </c>
      <c r="F44" s="15">
        <v>4.8010148292364398E-4</v>
      </c>
      <c r="G44" s="16">
        <v>1.8769272569131099</v>
      </c>
      <c r="H44" s="17">
        <v>210</v>
      </c>
      <c r="I44" s="13">
        <v>100</v>
      </c>
      <c r="J44" s="15">
        <v>0.38021990813220502</v>
      </c>
      <c r="K44" s="15">
        <v>0.453774162506622</v>
      </c>
      <c r="L44" s="15">
        <v>3.0539225384826698E-4</v>
      </c>
      <c r="M44" s="16">
        <v>2.0514404844440701</v>
      </c>
      <c r="N44" s="17">
        <v>420</v>
      </c>
      <c r="O44" s="13">
        <v>50</v>
      </c>
      <c r="P44" s="15">
        <v>0.30108724314770102</v>
      </c>
      <c r="Q44" s="15">
        <v>0.32894247891254602</v>
      </c>
      <c r="R44" s="15">
        <v>3.7430160297029902E-4</v>
      </c>
      <c r="S44" s="16">
        <v>1.48975147347071</v>
      </c>
      <c r="T44" s="13">
        <v>140</v>
      </c>
      <c r="U44" s="13">
        <v>150</v>
      </c>
      <c r="V44" s="15">
        <v>0.37486717251041501</v>
      </c>
      <c r="W44" s="15">
        <v>0.45840547009564803</v>
      </c>
      <c r="X44" s="15">
        <v>1.9898781660637001E-4</v>
      </c>
      <c r="Y44" s="15">
        <v>2.1367125073259898</v>
      </c>
    </row>
    <row r="45" spans="1:25">
      <c r="A45" s="29">
        <v>24000</v>
      </c>
      <c r="B45" s="14">
        <v>600</v>
      </c>
      <c r="C45" s="13">
        <v>40</v>
      </c>
      <c r="D45" s="15">
        <v>0.32525601762251</v>
      </c>
      <c r="E45" s="15">
        <v>0.36396883154769599</v>
      </c>
      <c r="F45" s="15">
        <v>4.1930277346009998E-4</v>
      </c>
      <c r="G45" s="16">
        <v>1.73399207056308</v>
      </c>
      <c r="H45" s="17">
        <v>240</v>
      </c>
      <c r="I45" s="13">
        <v>100</v>
      </c>
      <c r="J45" s="15">
        <v>0.34285947405145401</v>
      </c>
      <c r="K45" s="15">
        <v>0.40403943860594899</v>
      </c>
      <c r="L45" s="15">
        <v>2.87348541575674E-4</v>
      </c>
      <c r="M45" s="16">
        <v>1.80121150349287</v>
      </c>
      <c r="N45" s="17">
        <v>480</v>
      </c>
      <c r="O45" s="13">
        <v>50</v>
      </c>
      <c r="P45" s="15">
        <v>0.30999449242011601</v>
      </c>
      <c r="Q45" s="15">
        <v>0.33314664204271299</v>
      </c>
      <c r="R45" s="15">
        <v>5.9227953113929999E-4</v>
      </c>
      <c r="S45" s="16">
        <v>1.4925815459320899</v>
      </c>
      <c r="T45" s="13">
        <v>160</v>
      </c>
      <c r="U45" s="13">
        <v>150</v>
      </c>
      <c r="V45" s="15">
        <v>0.37351741365777003</v>
      </c>
      <c r="W45" s="15">
        <v>0.46308778454372201</v>
      </c>
      <c r="X45" s="15">
        <v>1.16813666547336E-4</v>
      </c>
      <c r="Y45" s="15">
        <v>2.4597791697179399</v>
      </c>
    </row>
    <row r="46" spans="1:25">
      <c r="A46" s="29">
        <v>27000</v>
      </c>
      <c r="B46" s="14">
        <v>675</v>
      </c>
      <c r="C46" s="13">
        <v>40</v>
      </c>
      <c r="D46" s="15">
        <v>0.30680939740005603</v>
      </c>
      <c r="E46" s="15">
        <v>0.350102078814374</v>
      </c>
      <c r="F46" s="15">
        <v>5.5859351061404001E-4</v>
      </c>
      <c r="G46" s="16">
        <v>1.7311362070584699</v>
      </c>
      <c r="H46" s="17">
        <v>270</v>
      </c>
      <c r="I46" s="13">
        <v>100</v>
      </c>
      <c r="J46" s="15">
        <v>0.31506286754353202</v>
      </c>
      <c r="K46" s="15">
        <v>0.38874538907412198</v>
      </c>
      <c r="L46" s="15">
        <v>2.69148088139129E-4</v>
      </c>
      <c r="M46" s="16">
        <v>1.78184566429444</v>
      </c>
      <c r="N46" s="17">
        <v>540</v>
      </c>
      <c r="O46" s="13">
        <v>50</v>
      </c>
      <c r="P46" s="15">
        <v>0.313980848620664</v>
      </c>
      <c r="Q46" s="15">
        <v>0.342340643880444</v>
      </c>
      <c r="R46" s="15">
        <v>4.9990382692463098E-4</v>
      </c>
      <c r="S46" s="16">
        <v>1.77019937650773</v>
      </c>
      <c r="T46" s="13">
        <v>180</v>
      </c>
      <c r="U46" s="13">
        <v>150</v>
      </c>
      <c r="V46" s="15">
        <v>0.37691942170421799</v>
      </c>
      <c r="W46" s="15">
        <v>0.44895017405024301</v>
      </c>
      <c r="X46" s="15">
        <v>1.26977163034178E-4</v>
      </c>
      <c r="Y46" s="15">
        <v>2.4438476227719401</v>
      </c>
    </row>
    <row r="47" spans="1:25">
      <c r="A47" s="30">
        <v>30000</v>
      </c>
      <c r="B47" s="25">
        <v>750</v>
      </c>
      <c r="C47" s="21">
        <v>40</v>
      </c>
      <c r="D47" s="22">
        <v>0.28270367283859399</v>
      </c>
      <c r="E47" s="22">
        <v>0.33630090545177599</v>
      </c>
      <c r="F47" s="22">
        <v>5.4589319708655897E-4</v>
      </c>
      <c r="G47" s="23">
        <v>1.6893766537163899</v>
      </c>
      <c r="H47" s="24">
        <v>300</v>
      </c>
      <c r="I47" s="21">
        <v>100</v>
      </c>
      <c r="J47" s="22">
        <v>0.31986389344459298</v>
      </c>
      <c r="K47" s="22">
        <v>0.40336628204180403</v>
      </c>
      <c r="L47" s="22">
        <v>4.80882751480313E-4</v>
      </c>
      <c r="M47" s="23">
        <v>1.71171346012578</v>
      </c>
      <c r="N47" s="24">
        <v>600</v>
      </c>
      <c r="O47" s="21">
        <v>50</v>
      </c>
      <c r="P47" s="22">
        <v>0.283934488764503</v>
      </c>
      <c r="Q47" s="22">
        <v>0.32642330890349702</v>
      </c>
      <c r="R47" s="22">
        <v>4.1613723090983999E-4</v>
      </c>
      <c r="S47" s="23">
        <v>1.5892579445747901</v>
      </c>
      <c r="T47" s="21">
        <v>200</v>
      </c>
      <c r="U47" s="21">
        <v>150</v>
      </c>
      <c r="V47" s="22">
        <v>0.35287210939024199</v>
      </c>
      <c r="W47" s="22">
        <v>0.420042023785271</v>
      </c>
      <c r="X47" s="22">
        <v>1.69127623018857E-4</v>
      </c>
      <c r="Y47" s="22">
        <v>2.4009824676816698</v>
      </c>
    </row>
    <row r="48" spans="1:25">
      <c r="A48" s="13"/>
      <c r="B48" s="27"/>
      <c r="C48" s="13"/>
      <c r="D48" s="15"/>
      <c r="E48" s="15"/>
      <c r="F48" s="15"/>
      <c r="G48" s="15"/>
      <c r="H48" s="27"/>
      <c r="I48" s="13"/>
      <c r="J48" s="15"/>
      <c r="K48" s="15"/>
      <c r="L48" s="15"/>
      <c r="M48" s="15"/>
      <c r="N48" s="27"/>
      <c r="O48" s="13"/>
      <c r="P48" s="15"/>
      <c r="Q48" s="15"/>
      <c r="R48" s="15"/>
      <c r="S48" s="15"/>
      <c r="T48" s="27"/>
      <c r="U48" s="13"/>
      <c r="V48" s="15"/>
      <c r="W48" s="15"/>
      <c r="X48" s="15"/>
      <c r="Y48" s="15"/>
    </row>
    <row r="51" spans="1:25">
      <c r="A51" s="1" t="s">
        <v>14</v>
      </c>
      <c r="D51" s="4"/>
      <c r="E51" s="4"/>
      <c r="F51" s="4"/>
      <c r="G51" s="4"/>
      <c r="H51" s="3"/>
      <c r="J51" s="4"/>
      <c r="K51" s="4"/>
      <c r="L51" s="4"/>
      <c r="M51" s="4"/>
      <c r="N51" s="2"/>
      <c r="P51" s="4"/>
      <c r="Q51" s="4"/>
      <c r="R51" s="4"/>
      <c r="S51" s="4"/>
      <c r="T51" s="2"/>
      <c r="V51" s="4"/>
      <c r="W51" s="4"/>
      <c r="X51" s="4"/>
      <c r="Y51" s="4"/>
    </row>
    <row r="52" spans="1:25">
      <c r="A52" s="6"/>
      <c r="B52" s="36" t="s">
        <v>15</v>
      </c>
      <c r="C52" s="37"/>
      <c r="D52" s="37"/>
      <c r="E52" s="37"/>
      <c r="F52" s="37"/>
      <c r="G52" s="38"/>
      <c r="H52" s="36" t="s">
        <v>16</v>
      </c>
      <c r="I52" s="37"/>
      <c r="J52" s="37"/>
      <c r="K52" s="37"/>
      <c r="L52" s="37"/>
      <c r="M52" s="38"/>
      <c r="N52" s="36" t="s">
        <v>17</v>
      </c>
      <c r="O52" s="37"/>
      <c r="P52" s="37"/>
      <c r="Q52" s="37"/>
      <c r="R52" s="37"/>
      <c r="S52" s="38"/>
      <c r="T52" s="37" t="s">
        <v>18</v>
      </c>
      <c r="U52" s="37"/>
      <c r="V52" s="37"/>
      <c r="W52" s="37"/>
      <c r="X52" s="37"/>
      <c r="Y52" s="37"/>
    </row>
    <row r="53" spans="1:25">
      <c r="A53" s="6" t="s">
        <v>3</v>
      </c>
      <c r="B53" s="9" t="s">
        <v>4</v>
      </c>
      <c r="C53" s="8" t="s">
        <v>5</v>
      </c>
      <c r="D53" s="10" t="s">
        <v>7</v>
      </c>
      <c r="E53" s="10" t="s">
        <v>10</v>
      </c>
      <c r="F53" s="10" t="s">
        <v>8</v>
      </c>
      <c r="G53" s="11" t="s">
        <v>9</v>
      </c>
      <c r="H53" s="7" t="s">
        <v>4</v>
      </c>
      <c r="I53" s="8" t="s">
        <v>5</v>
      </c>
      <c r="J53" s="10" t="s">
        <v>7</v>
      </c>
      <c r="K53" s="10" t="s">
        <v>10</v>
      </c>
      <c r="L53" s="10" t="s">
        <v>8</v>
      </c>
      <c r="M53" s="11" t="s">
        <v>9</v>
      </c>
      <c r="N53" s="7" t="s">
        <v>4</v>
      </c>
      <c r="O53" s="8" t="s">
        <v>5</v>
      </c>
      <c r="P53" s="10" t="s">
        <v>7</v>
      </c>
      <c r="Q53" s="10" t="s">
        <v>10</v>
      </c>
      <c r="R53" s="10" t="s">
        <v>8</v>
      </c>
      <c r="S53" s="18" t="s">
        <v>9</v>
      </c>
      <c r="T53" s="7" t="s">
        <v>4</v>
      </c>
      <c r="U53" s="8" t="s">
        <v>5</v>
      </c>
      <c r="V53" s="10" t="s">
        <v>7</v>
      </c>
      <c r="W53" s="10" t="s">
        <v>10</v>
      </c>
      <c r="X53" s="10" t="s">
        <v>8</v>
      </c>
      <c r="Y53" s="11" t="s">
        <v>9</v>
      </c>
    </row>
    <row r="54" spans="1:25">
      <c r="A54" s="29">
        <v>3000</v>
      </c>
      <c r="B54" s="14">
        <v>100</v>
      </c>
      <c r="C54" s="13">
        <v>30</v>
      </c>
      <c r="D54" s="15">
        <v>0.71589500792300098</v>
      </c>
      <c r="E54" s="15">
        <v>0.82651964163219505</v>
      </c>
      <c r="F54" s="15">
        <v>8.2647532878538305E-4</v>
      </c>
      <c r="G54" s="16">
        <v>4.6528269076054602</v>
      </c>
      <c r="H54" s="17">
        <v>30</v>
      </c>
      <c r="I54" s="13">
        <v>100</v>
      </c>
      <c r="J54" s="15">
        <v>0.83602506670497501</v>
      </c>
      <c r="K54" s="15">
        <v>0.84111136922670204</v>
      </c>
      <c r="L54" s="15">
        <v>5.51775323328435E-4</v>
      </c>
      <c r="M54" s="15">
        <v>4.0346514433006204</v>
      </c>
      <c r="N54" s="17">
        <v>60</v>
      </c>
      <c r="O54" s="13">
        <v>50</v>
      </c>
      <c r="P54" s="15">
        <v>0.81011561771058105</v>
      </c>
      <c r="Q54" s="15">
        <v>0.84075007283880199</v>
      </c>
      <c r="R54" s="15">
        <v>2.84248911734224E-4</v>
      </c>
      <c r="S54" s="18">
        <v>3.2345750099374402</v>
      </c>
      <c r="T54" s="13">
        <v>20</v>
      </c>
      <c r="U54" s="13">
        <v>150</v>
      </c>
      <c r="V54" s="15">
        <v>0.77416449752484995</v>
      </c>
      <c r="W54" s="15">
        <v>0.78562018954374901</v>
      </c>
      <c r="X54" s="15">
        <v>2.5684455083391298E-3</v>
      </c>
      <c r="Y54" s="15">
        <v>3.9514006893557698</v>
      </c>
    </row>
    <row r="55" spans="1:25">
      <c r="A55" s="29">
        <v>6000</v>
      </c>
      <c r="B55" s="14">
        <v>200</v>
      </c>
      <c r="C55" s="13">
        <v>30</v>
      </c>
      <c r="D55" s="15">
        <v>0.59939347394358999</v>
      </c>
      <c r="E55" s="15">
        <v>0.62546649163714996</v>
      </c>
      <c r="F55" s="15">
        <v>8.1588262763486095E-4</v>
      </c>
      <c r="G55" s="16">
        <v>2.29233969521928</v>
      </c>
      <c r="H55" s="17">
        <v>60</v>
      </c>
      <c r="I55" s="13">
        <v>100</v>
      </c>
      <c r="J55" s="15">
        <v>0.73730837564347995</v>
      </c>
      <c r="K55" s="15">
        <v>0.75251807206707599</v>
      </c>
      <c r="L55" s="15">
        <v>4.6425146636217002E-4</v>
      </c>
      <c r="M55" s="15">
        <v>2.8798747767377999</v>
      </c>
      <c r="N55" s="17">
        <v>120</v>
      </c>
      <c r="O55" s="13">
        <v>50</v>
      </c>
      <c r="P55" s="15">
        <v>0.73026360035786098</v>
      </c>
      <c r="Q55" s="15">
        <v>0.75472523457707497</v>
      </c>
      <c r="R55" s="15">
        <v>1.3242317964234099E-4</v>
      </c>
      <c r="S55" s="16">
        <v>2.98717497777703</v>
      </c>
      <c r="T55" s="13">
        <v>40</v>
      </c>
      <c r="U55" s="13">
        <v>150</v>
      </c>
      <c r="V55" s="15">
        <v>0.82437330806686504</v>
      </c>
      <c r="W55" s="15">
        <v>0.80878612256841398</v>
      </c>
      <c r="X55" s="15">
        <v>2.8897161747279102E-3</v>
      </c>
      <c r="Y55" s="15">
        <v>3.26660799819751</v>
      </c>
    </row>
    <row r="56" spans="1:25">
      <c r="A56" s="29">
        <v>9000</v>
      </c>
      <c r="B56" s="14">
        <v>300</v>
      </c>
      <c r="C56" s="13">
        <v>30</v>
      </c>
      <c r="D56" s="15">
        <v>0.569606075146463</v>
      </c>
      <c r="E56" s="15">
        <v>0.59706880607266</v>
      </c>
      <c r="F56" s="15">
        <v>2.5926274330247102E-4</v>
      </c>
      <c r="G56" s="16">
        <v>2.3455805842677599</v>
      </c>
      <c r="H56" s="17">
        <v>90</v>
      </c>
      <c r="I56" s="13">
        <v>100</v>
      </c>
      <c r="J56" s="15">
        <v>0.47752317519299398</v>
      </c>
      <c r="K56" s="15">
        <v>0.61417389832647895</v>
      </c>
      <c r="L56" s="15">
        <v>2.6874901246929999E-4</v>
      </c>
      <c r="M56" s="16">
        <v>4.1262346463107997</v>
      </c>
      <c r="N56" s="17">
        <v>180</v>
      </c>
      <c r="O56" s="13">
        <v>50</v>
      </c>
      <c r="P56" s="15">
        <v>0.453729218515319</v>
      </c>
      <c r="Q56" s="15">
        <v>0.47868399150871699</v>
      </c>
      <c r="R56" s="15">
        <v>2.7429695878554802E-4</v>
      </c>
      <c r="S56" s="16">
        <v>2.1118656134877898</v>
      </c>
      <c r="T56" s="13">
        <v>60</v>
      </c>
      <c r="U56" s="13">
        <v>150</v>
      </c>
      <c r="V56" s="4">
        <v>0.71930504148652596</v>
      </c>
      <c r="W56" s="4">
        <v>0.73032645171973698</v>
      </c>
      <c r="X56" s="4">
        <v>3.8849720844030301E-4</v>
      </c>
      <c r="Y56" s="4">
        <v>2.7718688455639602</v>
      </c>
    </row>
    <row r="57" spans="1:25">
      <c r="A57" s="29">
        <v>12000</v>
      </c>
      <c r="B57" s="14">
        <v>342</v>
      </c>
      <c r="C57" s="13">
        <v>35</v>
      </c>
      <c r="D57" s="15">
        <v>0.475028968125559</v>
      </c>
      <c r="E57" s="15">
        <v>0.485187140835109</v>
      </c>
      <c r="F57" s="15">
        <v>3.8669151876695299E-4</v>
      </c>
      <c r="G57" s="16">
        <v>1.9150213243312</v>
      </c>
      <c r="H57" s="17">
        <v>120</v>
      </c>
      <c r="I57" s="13">
        <v>100</v>
      </c>
      <c r="J57" s="15">
        <v>0.445544254769564</v>
      </c>
      <c r="K57" s="15">
        <v>0.48721902443291198</v>
      </c>
      <c r="L57" s="15">
        <v>2.7517166464985598E-4</v>
      </c>
      <c r="M57" s="16">
        <v>2.0877147189897598</v>
      </c>
      <c r="N57" s="17">
        <v>240</v>
      </c>
      <c r="O57" s="13">
        <v>50</v>
      </c>
      <c r="P57" s="15">
        <v>0.44779981817480702</v>
      </c>
      <c r="Q57" s="15">
        <v>0.48497585452939301</v>
      </c>
      <c r="R57" s="15">
        <v>3.3760865589579897E-4</v>
      </c>
      <c r="S57" s="16">
        <v>2.1759882157619801</v>
      </c>
      <c r="T57" s="13">
        <v>80</v>
      </c>
      <c r="U57" s="13">
        <v>150</v>
      </c>
      <c r="V57" s="15">
        <v>0.71930000479948197</v>
      </c>
      <c r="W57" s="15">
        <v>0.74414706628610505</v>
      </c>
      <c r="X57" s="15">
        <v>1.10494023744891E-4</v>
      </c>
      <c r="Y57" s="15">
        <v>2.9328347766107199</v>
      </c>
    </row>
    <row r="58" spans="1:25">
      <c r="A58" s="29">
        <v>15000</v>
      </c>
      <c r="B58" s="14">
        <v>428</v>
      </c>
      <c r="C58" s="13">
        <v>35</v>
      </c>
      <c r="D58" s="15">
        <v>0.42824659737684601</v>
      </c>
      <c r="E58" s="15">
        <v>0.43005946942354101</v>
      </c>
      <c r="F58" s="15">
        <v>7.1953718319855097E-4</v>
      </c>
      <c r="G58" s="16">
        <v>1.85860579984543</v>
      </c>
      <c r="H58" s="17">
        <v>150</v>
      </c>
      <c r="I58" s="13">
        <v>100</v>
      </c>
      <c r="J58" s="15">
        <v>0.412699464520554</v>
      </c>
      <c r="K58" s="15">
        <v>0.45636571704432</v>
      </c>
      <c r="L58" s="15">
        <v>2.15581755276092E-4</v>
      </c>
      <c r="M58" s="16">
        <v>2.3410656752471501</v>
      </c>
      <c r="N58" s="17">
        <v>300</v>
      </c>
      <c r="O58" s="13">
        <v>50</v>
      </c>
      <c r="P58" s="15">
        <v>0.42495337776328601</v>
      </c>
      <c r="Q58" s="15">
        <v>0.46835463060224303</v>
      </c>
      <c r="R58" s="15">
        <v>1.5762102654002299E-4</v>
      </c>
      <c r="S58" s="16">
        <v>2.1136917954085099</v>
      </c>
      <c r="T58" s="13">
        <v>100</v>
      </c>
      <c r="U58" s="13">
        <v>150</v>
      </c>
      <c r="V58" s="15">
        <v>0.47650476820273302</v>
      </c>
      <c r="W58" s="15">
        <v>0.60622968276377998</v>
      </c>
      <c r="X58" s="15">
        <v>2.03660584056367E-4</v>
      </c>
      <c r="Y58" s="15">
        <v>4.0958165602520102</v>
      </c>
    </row>
    <row r="59" spans="1:25">
      <c r="A59" s="29">
        <v>18000</v>
      </c>
      <c r="B59" s="14">
        <v>514</v>
      </c>
      <c r="C59" s="13">
        <v>35</v>
      </c>
      <c r="D59" s="15">
        <v>0.39117011753528103</v>
      </c>
      <c r="E59" s="15">
        <v>0.42218336265666101</v>
      </c>
      <c r="F59" s="15">
        <v>3.3291254896437102E-4</v>
      </c>
      <c r="G59" s="16">
        <v>1.73395448481299</v>
      </c>
      <c r="H59" s="17">
        <v>180</v>
      </c>
      <c r="I59" s="13">
        <v>100</v>
      </c>
      <c r="J59" s="15">
        <v>0.38581113401004902</v>
      </c>
      <c r="K59" s="15">
        <v>0.42233594984901601</v>
      </c>
      <c r="L59" s="15">
        <v>1.8984134724779999E-4</v>
      </c>
      <c r="M59" s="16">
        <v>2.22143093560347</v>
      </c>
      <c r="N59" s="17">
        <v>360</v>
      </c>
      <c r="O59" s="13">
        <v>50</v>
      </c>
      <c r="P59" s="15">
        <v>0.37209948992487901</v>
      </c>
      <c r="Q59" s="15">
        <v>0.40314572642614799</v>
      </c>
      <c r="R59" s="15">
        <v>3.7679509817358599E-4</v>
      </c>
      <c r="S59" s="16">
        <v>1.84383120476313</v>
      </c>
      <c r="T59" s="13">
        <v>120</v>
      </c>
      <c r="U59" s="13">
        <v>150</v>
      </c>
      <c r="V59" s="15">
        <v>0.42923769759874297</v>
      </c>
      <c r="W59" s="15">
        <v>0.47223618276657697</v>
      </c>
      <c r="X59" s="15">
        <v>2.26200814034515E-4</v>
      </c>
      <c r="Y59" s="15">
        <v>2.1091091514062401</v>
      </c>
    </row>
    <row r="60" spans="1:25">
      <c r="A60" s="29">
        <v>21000</v>
      </c>
      <c r="B60" s="14">
        <v>600</v>
      </c>
      <c r="C60" s="13">
        <v>35</v>
      </c>
      <c r="D60" s="15">
        <v>0.341584845782827</v>
      </c>
      <c r="E60" s="15">
        <v>0.426607946466253</v>
      </c>
      <c r="F60" s="15">
        <v>7.8473514201758297E-4</v>
      </c>
      <c r="G60" s="16">
        <v>2.1912884321862802</v>
      </c>
      <c r="H60" s="17">
        <v>210</v>
      </c>
      <c r="I60" s="13">
        <v>100</v>
      </c>
      <c r="J60" s="15">
        <v>0.39741792728885</v>
      </c>
      <c r="K60" s="15">
        <v>0.44250579826116698</v>
      </c>
      <c r="L60" s="15">
        <v>2.5817461481423897E-4</v>
      </c>
      <c r="M60" s="16">
        <v>2.22804902416055</v>
      </c>
      <c r="N60" s="17">
        <v>420</v>
      </c>
      <c r="O60" s="13">
        <v>50</v>
      </c>
      <c r="P60" s="15">
        <v>0.35379338362218199</v>
      </c>
      <c r="Q60" s="15">
        <v>0.38291456755678399</v>
      </c>
      <c r="R60" s="15">
        <v>1.7726087350879299E-4</v>
      </c>
      <c r="S60" s="16">
        <v>1.96002246367434</v>
      </c>
      <c r="T60" s="13">
        <v>140</v>
      </c>
      <c r="U60" s="13">
        <v>150</v>
      </c>
      <c r="V60" s="15">
        <v>0.39998482543796099</v>
      </c>
      <c r="W60" s="15">
        <v>0.43325648438077202</v>
      </c>
      <c r="X60" s="15">
        <v>3.5972254292744197E-4</v>
      </c>
      <c r="Y60" s="15">
        <v>2.10893450717258</v>
      </c>
    </row>
    <row r="61" spans="1:25">
      <c r="A61" s="29">
        <v>24000</v>
      </c>
      <c r="B61" s="14">
        <v>600</v>
      </c>
      <c r="C61" s="13">
        <v>40</v>
      </c>
      <c r="D61" s="15">
        <v>0.31068309746533002</v>
      </c>
      <c r="E61" s="15">
        <v>0.391867126558886</v>
      </c>
      <c r="F61" s="15">
        <v>4.9690559195326002E-4</v>
      </c>
      <c r="G61" s="16">
        <v>2.0746848008380998</v>
      </c>
      <c r="H61" s="17">
        <v>240</v>
      </c>
      <c r="I61" s="13">
        <v>100</v>
      </c>
      <c r="J61" s="15">
        <v>0.379034946773814</v>
      </c>
      <c r="K61" s="15">
        <v>0.42771898774988498</v>
      </c>
      <c r="L61" s="15">
        <v>2.5430110787436999E-4</v>
      </c>
      <c r="M61" s="16">
        <v>2.2911965713520299</v>
      </c>
      <c r="N61" s="17">
        <v>480</v>
      </c>
      <c r="O61" s="13">
        <v>50</v>
      </c>
      <c r="P61" s="15">
        <v>0.312339421035988</v>
      </c>
      <c r="Q61" s="15">
        <v>0.35153020120120498</v>
      </c>
      <c r="R61" s="15">
        <v>2.6872144390908102E-4</v>
      </c>
      <c r="S61" s="16">
        <v>1.49395422026782</v>
      </c>
      <c r="T61" s="13">
        <v>160</v>
      </c>
      <c r="U61" s="13">
        <v>150</v>
      </c>
      <c r="V61" s="15">
        <v>0.385327856862485</v>
      </c>
      <c r="W61" s="15">
        <v>0.44441903290729301</v>
      </c>
      <c r="X61" s="15">
        <v>4.0147727824740501E-4</v>
      </c>
      <c r="Y61" s="15">
        <v>2.3684788775855199</v>
      </c>
    </row>
    <row r="62" spans="1:25">
      <c r="A62" s="29">
        <v>27000</v>
      </c>
      <c r="B62" s="14">
        <v>675</v>
      </c>
      <c r="C62" s="13">
        <v>40</v>
      </c>
      <c r="D62" s="15">
        <v>0.26828164538663402</v>
      </c>
      <c r="E62" s="15">
        <v>0.34647718010130701</v>
      </c>
      <c r="F62" s="15">
        <v>4.8606092932495902E-4</v>
      </c>
      <c r="G62" s="16">
        <v>2.0797997522755001</v>
      </c>
      <c r="H62" s="17">
        <v>270</v>
      </c>
      <c r="I62" s="13">
        <v>100</v>
      </c>
      <c r="J62" s="15">
        <v>0.33805018609370402</v>
      </c>
      <c r="K62" s="15">
        <v>0.40070226355127297</v>
      </c>
      <c r="L62" s="15">
        <v>2.5675177257484898E-4</v>
      </c>
      <c r="M62" s="16">
        <v>2.2428150264170501</v>
      </c>
      <c r="N62" s="17">
        <v>540</v>
      </c>
      <c r="O62" s="13">
        <v>50</v>
      </c>
      <c r="P62" s="15">
        <v>0.30927180359732398</v>
      </c>
      <c r="Q62" s="15">
        <v>0.35574803766610202</v>
      </c>
      <c r="R62" s="15">
        <v>3.2937990730715598E-4</v>
      </c>
      <c r="S62" s="16">
        <v>1.62247741345972</v>
      </c>
      <c r="T62" s="13">
        <v>180</v>
      </c>
      <c r="U62" s="13">
        <v>150</v>
      </c>
      <c r="V62" s="15">
        <v>0.370153052246184</v>
      </c>
      <c r="W62" s="15">
        <v>0.41275932930199799</v>
      </c>
      <c r="X62" s="15">
        <v>3.6603513749365802E-4</v>
      </c>
      <c r="Y62" s="15">
        <v>2.2552521260235001</v>
      </c>
    </row>
    <row r="63" spans="1:25">
      <c r="A63" s="30">
        <v>30000</v>
      </c>
      <c r="B63" s="14">
        <v>750</v>
      </c>
      <c r="C63" s="21">
        <v>40</v>
      </c>
      <c r="D63" s="22">
        <v>0.25600289304318502</v>
      </c>
      <c r="E63" s="22">
        <v>0.336206501753256</v>
      </c>
      <c r="F63" s="22">
        <v>4.0975449968395098E-4</v>
      </c>
      <c r="G63" s="23">
        <v>2.06404291122145</v>
      </c>
      <c r="H63" s="24">
        <v>300</v>
      </c>
      <c r="I63" s="21">
        <v>100</v>
      </c>
      <c r="J63" s="22">
        <v>0.35837764851154102</v>
      </c>
      <c r="K63" s="22">
        <v>0.417093983786402</v>
      </c>
      <c r="L63" s="22">
        <v>1.40519129522252E-4</v>
      </c>
      <c r="M63" s="23">
        <v>2.2275388482435998</v>
      </c>
      <c r="N63" s="24">
        <v>600</v>
      </c>
      <c r="O63" s="21">
        <v>50</v>
      </c>
      <c r="P63" s="22">
        <v>0.27589904209915</v>
      </c>
      <c r="Q63" s="22">
        <v>0.34865735731351699</v>
      </c>
      <c r="R63" s="22">
        <v>5.1487072095675497E-4</v>
      </c>
      <c r="S63" s="23">
        <v>1.9006702926201</v>
      </c>
      <c r="T63" s="21">
        <v>200</v>
      </c>
      <c r="U63" s="21">
        <v>150</v>
      </c>
      <c r="V63" s="22">
        <v>0.37245880895415501</v>
      </c>
      <c r="W63" s="22">
        <v>0.42462750463337001</v>
      </c>
      <c r="X63" s="22">
        <v>1.16616561467955E-4</v>
      </c>
      <c r="Y63" s="22">
        <v>2.26060598666096</v>
      </c>
    </row>
    <row r="64" spans="1:25">
      <c r="A64" s="13"/>
      <c r="B64" s="27"/>
      <c r="C64" s="13"/>
      <c r="D64" s="15"/>
      <c r="E64" s="15"/>
      <c r="F64" s="15"/>
      <c r="G64" s="15"/>
      <c r="H64" s="27"/>
      <c r="I64" s="13"/>
      <c r="J64" s="15"/>
      <c r="K64" s="15"/>
      <c r="L64" s="15"/>
      <c r="M64" s="15"/>
      <c r="N64" s="27"/>
      <c r="O64" s="13"/>
      <c r="P64" s="15"/>
      <c r="Q64" s="15"/>
      <c r="R64" s="15"/>
      <c r="S64" s="15"/>
      <c r="T64" s="27"/>
      <c r="U64" s="13"/>
      <c r="V64" s="15"/>
      <c r="W64" s="15"/>
      <c r="X64" s="15"/>
      <c r="Y64" s="15"/>
    </row>
  </sheetData>
  <mergeCells count="16">
    <mergeCell ref="B52:G52"/>
    <mergeCell ref="H52:M52"/>
    <mergeCell ref="N52:S52"/>
    <mergeCell ref="T52:Y52"/>
    <mergeCell ref="B36:G36"/>
    <mergeCell ref="H36:M36"/>
    <mergeCell ref="B4:G4"/>
    <mergeCell ref="H4:M4"/>
    <mergeCell ref="N36:S36"/>
    <mergeCell ref="N4:S4"/>
    <mergeCell ref="T4:Y4"/>
    <mergeCell ref="B20:G20"/>
    <mergeCell ref="H20:M20"/>
    <mergeCell ref="N20:S20"/>
    <mergeCell ref="T20:Y20"/>
    <mergeCell ref="T36:Y36"/>
  </mergeCells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d=2</vt:lpstr>
      <vt:lpstr>d=10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Nifei LIN</dc:creator>
  <cp:lastModifiedBy>Nifei LIN</cp:lastModifiedBy>
  <dcterms:created xsi:type="dcterms:W3CDTF">2025-11-12T09:45:37Z</dcterms:created>
  <dcterms:modified xsi:type="dcterms:W3CDTF">2025-11-30T10:54:11Z</dcterms:modified>
</cp:coreProperties>
</file>